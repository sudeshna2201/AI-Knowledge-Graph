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 /><Relationship Id="rId2" Type="http://schemas.openxmlformats.org/package/2006/relationships/metadata/core-properties" Target="docProps/core.xml" /><Relationship Id="rId1" Type="http://schemas.openxmlformats.org/officeDocument/2006/relationships/officeDocument" Target="xl/workbook.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00000000-0000-0000-0000-000000000000}"/>
  <workbookPr showInkAnnotation="0" codeName="ThisWorkbook"/>
  <mc:AlternateContent xmlns:mc="http://schemas.openxmlformats.org/markup-compatibility/2006">
    <mc:Choice Requires="x15">
      <x15ac:absPath xmlns:x15ac="http://schemas.microsoft.com/office/spreadsheetml/2010/11/ac" url="D:\Windows\ServiceProfiles\NetworkService\AppData\Local\Packages\oice_16_974fa576_32c1d314_31d5\AC\Temp\"/>
    </mc:Choice>
  </mc:AlternateContent>
  <xr:revisionPtr revIDLastSave="0" documentId="8_{855DC8A5-BDE8-4143-8800-7855D58F57CC}" xr6:coauthVersionLast="47" xr6:coauthVersionMax="47" xr10:uidLastSave="{00000000-0000-0000-0000-000000000000}"/>
  <bookViews>
    <workbookView xWindow="-60" yWindow="-60" windowWidth="15480" windowHeight="11640" tabRatio="775" activeTab="3" xr2:uid="{FC82C5F0-6F1F-46BC-8A6C-255FFC59F0B2}"/>
  </bookViews>
  <sheets>
    <sheet name="Product Backlog" sheetId="52" r:id="rId1"/>
    <sheet name="Sprint Backlog" sheetId="48" r:id="rId2"/>
    <sheet name="Stand up Meeting" sheetId="50" r:id="rId3"/>
    <sheet name="Retrospection" sheetId="34"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 i="48" l="1"/>
  <c r="J3" i="48"/>
  <c r="K3" i="48"/>
  <c r="L3" i="48"/>
  <c r="M3" i="48"/>
  <c r="N3" i="48"/>
  <c r="O3" i="48"/>
  <c r="P3" i="48"/>
  <c r="Q3" i="48"/>
  <c r="R3" i="48"/>
  <c r="S3" i="48"/>
  <c r="T3" i="48"/>
  <c r="U3" i="48"/>
  <c r="V3" i="48"/>
  <c r="W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0CBE8F23-CA6A-41F6-8D5F-5470BC8D85F9}">
      <text>
        <r>
          <rPr>
            <sz val="9"/>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2C619CFC-E299-4880-928A-C6ABFC767179}">
      <text>
        <r>
          <rPr>
            <sz val="9"/>
            <rFont val="Tahoma"/>
            <family val="2"/>
          </rPr>
          <t>Please enter the dates in either of these formats: 
9/15/2016  or
15-Sep-2016</t>
        </r>
      </text>
    </comment>
    <comment ref="E2" authorId="0" shapeId="0" xr:uid="{44625283-FA24-4C72-9FF7-CCAB82D580B3}">
      <text>
        <r>
          <rPr>
            <sz val="9"/>
            <rFont val="Tahoma"/>
            <family val="2"/>
          </rPr>
          <t xml:space="preserve">Please enter the dates in either of these formats: 
9/15/2016  or
15-Sep-2016
</t>
        </r>
      </text>
    </comment>
    <comment ref="I3" authorId="0" shapeId="0" xr:uid="{1CC0C9DB-6F07-4DF4-A7AB-967138BD6817}">
      <text>
        <r>
          <rPr>
            <sz val="9"/>
            <rFont val="Tahoma"/>
            <family val="2"/>
          </rPr>
          <t xml:space="preserve">This is the total task estimated in hours for all the user stories </t>
        </r>
      </text>
    </comment>
    <comment ref="J3" authorId="0" shapeId="0" xr:uid="{BF4D09DF-4AD0-485E-92CB-33024D0ECB7C}">
      <text>
        <r>
          <rPr>
            <sz val="9"/>
            <rFont val="Tahoma"/>
            <family val="2"/>
          </rPr>
          <t xml:space="preserve">Pending effort hours after completion of day 1 work
</t>
        </r>
      </text>
    </comment>
    <comment ref="K3" authorId="0" shapeId="0" xr:uid="{75BC4D67-441E-4C10-97EB-C3D1B719A1A3}">
      <text>
        <r>
          <rPr>
            <sz val="9"/>
            <rFont val="Tahoma"/>
            <family val="2"/>
          </rPr>
          <t>Pending effort hours after completion of day 2 work</t>
        </r>
      </text>
    </comment>
    <comment ref="L3" authorId="0" shapeId="0" xr:uid="{ADFF7955-F568-494F-99EF-D5A69B5357FE}">
      <text>
        <r>
          <rPr>
            <sz val="9"/>
            <rFont val="Tahoma"/>
            <family val="2"/>
          </rPr>
          <t>Pending effort hours after completion of day 3 work</t>
        </r>
      </text>
    </comment>
    <comment ref="M3" authorId="0" shapeId="0" xr:uid="{62BF14B2-6848-4587-924A-3AFA30FDE4D0}">
      <text>
        <r>
          <rPr>
            <sz val="9"/>
            <rFont val="Tahoma"/>
            <family val="2"/>
          </rPr>
          <t xml:space="preserve">Pending effort hours after completion of day 4 work
</t>
        </r>
      </text>
    </comment>
    <comment ref="N3" authorId="0" shapeId="0" xr:uid="{F8BC8C6B-DD75-40D9-96E0-39017E26FE76}">
      <text>
        <r>
          <rPr>
            <sz val="9"/>
            <rFont val="Tahoma"/>
            <family val="2"/>
          </rPr>
          <t xml:space="preserve">Pending effort hours after completion of day 5 work
</t>
        </r>
      </text>
    </comment>
    <comment ref="O3" authorId="0" shapeId="0" xr:uid="{AC30C567-693A-402B-8349-69A955C1C446}">
      <text>
        <r>
          <rPr>
            <sz val="9"/>
            <rFont val="Tahoma"/>
            <family val="2"/>
          </rPr>
          <t xml:space="preserve">Pending effort hours after completion of day 6 work
</t>
        </r>
      </text>
    </comment>
    <comment ref="P3" authorId="0" shapeId="0" xr:uid="{5C8EF55D-B766-4D7F-A528-AA6BAD0DC456}">
      <text>
        <r>
          <rPr>
            <sz val="9"/>
            <rFont val="Tahoma"/>
            <family val="2"/>
          </rPr>
          <t>Pending effort hours after completion of day 7 work</t>
        </r>
      </text>
    </comment>
    <comment ref="Q3" authorId="0" shapeId="0" xr:uid="{D5E5482D-D5D7-480C-B4CE-B068A30CC877}">
      <text>
        <r>
          <rPr>
            <sz val="9"/>
            <rFont val="Tahoma"/>
            <family val="2"/>
          </rPr>
          <t xml:space="preserve">Pending effort hours after completion of day 8 work
</t>
        </r>
      </text>
    </comment>
    <comment ref="R3" authorId="0" shapeId="0" xr:uid="{8799C242-2C49-4CAD-98A7-AFC4F928EBBA}">
      <text>
        <r>
          <rPr>
            <sz val="9"/>
            <rFont val="Tahoma"/>
            <family val="2"/>
          </rPr>
          <t xml:space="preserve">Pending effort hours after completion of day 9 work
</t>
        </r>
      </text>
    </comment>
    <comment ref="S3" authorId="0" shapeId="0" xr:uid="{D1225D86-4F37-4E55-94EE-1FF76A6D79F9}">
      <text>
        <r>
          <rPr>
            <sz val="9"/>
            <rFont val="Tahoma"/>
            <family val="2"/>
          </rPr>
          <t xml:space="preserve">Pending effort hours after completion of day 10 work
</t>
        </r>
      </text>
    </comment>
    <comment ref="T3" authorId="0" shapeId="0" xr:uid="{5954CF6E-B97F-4637-BDA1-F2100B95A8B4}">
      <text>
        <r>
          <rPr>
            <sz val="9"/>
            <rFont val="Tahoma"/>
            <family val="2"/>
          </rPr>
          <t xml:space="preserve">Pending effort hours after completion of day 11 work
</t>
        </r>
      </text>
    </comment>
    <comment ref="U3" authorId="0" shapeId="0" xr:uid="{ACF02E74-90FE-4BFA-AD71-8038E8E165A4}">
      <text>
        <r>
          <rPr>
            <sz val="9"/>
            <rFont val="Tahoma"/>
            <family val="2"/>
          </rPr>
          <t xml:space="preserve">Pending effort hours after completion of day 12 work
</t>
        </r>
      </text>
    </comment>
    <comment ref="V3" authorId="0" shapeId="0" xr:uid="{875486E9-BD66-4B10-A953-9C7E5353B37B}">
      <text>
        <r>
          <rPr>
            <sz val="9"/>
            <rFont val="Tahoma"/>
            <family val="2"/>
          </rPr>
          <t xml:space="preserve">Pending effort hours after completion of day 13 work
</t>
        </r>
      </text>
    </comment>
    <comment ref="W3" authorId="0" shapeId="0" xr:uid="{23A08FCE-49B9-4653-B779-FAC4120C9BFA}">
      <text>
        <r>
          <rPr>
            <sz val="9"/>
            <rFont val="Tahoma"/>
            <family val="2"/>
          </rPr>
          <t xml:space="preserve">Pending effort hours after completion of day 14 work
</t>
        </r>
      </text>
    </comment>
  </commentList>
</comments>
</file>

<file path=xl/sharedStrings.xml><?xml version="1.0" encoding="utf-8"?>
<sst xmlns="http://schemas.openxmlformats.org/spreadsheetml/2006/main" count="254" uniqueCount="150">
  <si>
    <t>Planned Sprint</t>
  </si>
  <si>
    <t>Actual Sprint</t>
  </si>
  <si>
    <t>US ID</t>
  </si>
  <si>
    <t>User Story Description</t>
  </si>
  <si>
    <t>MOSCOW</t>
  </si>
  <si>
    <t>Dependency</t>
  </si>
  <si>
    <t>Assignee</t>
  </si>
  <si>
    <t>Status</t>
  </si>
  <si>
    <t>S1</t>
  </si>
  <si>
    <t>US-001</t>
  </si>
  <si>
    <t>Milestone 1: Connect to enterprise data sources &amp; acquire Enron dataset</t>
  </si>
  <si>
    <t>MUST HAVE</t>
  </si>
  <si>
    <t>Requires identification of reliable data repositories (e.g., Kaggle, HuggingFace) and verification of the dataset structure for email body and metadata extraction.</t>
  </si>
  <si>
    <t>Sivaraju Saketh,Harshil Joseph</t>
  </si>
  <si>
    <t>3- Completed</t>
  </si>
  <si>
    <t>US-002</t>
  </si>
  <si>
    <t>Milestone 1: Build ingestion pipelines &amp; define Neo4j Knowledge Graph schema</t>
  </si>
  <si>
    <t>US-001, Neo4j</t>
  </si>
  <si>
    <t>D Sumanth</t>
  </si>
  <si>
    <t>S2</t>
  </si>
  <si>
    <t>US-003</t>
  </si>
  <si>
    <t>Milestone 2: Apply LLM-based NER to extract entities and relationships</t>
  </si>
  <si>
    <t>US-002, Ollama API</t>
  </si>
  <si>
    <t>Sivaraju Saketh,Sudheeshana Sharma</t>
  </si>
  <si>
    <t>US-004</t>
  </si>
  <si>
    <t>Milestone 2: Store extracted entities in Neo4j and validate graph topology</t>
  </si>
  <si>
    <t>US-003, Neo4j</t>
  </si>
  <si>
    <t>D Sumanth,Purna chandra</t>
  </si>
  <si>
    <t>S3</t>
  </si>
  <si>
    <t>US-005</t>
  </si>
  <si>
    <t>Milestone 3: Generate text embeddings and integrate with Pinecone Vector DB</t>
  </si>
  <si>
    <t>Pinecone API, LangChain</t>
  </si>
  <si>
    <t>Sivaraju Saketh</t>
  </si>
  <si>
    <t>S4</t>
  </si>
  <si>
    <t>US-006</t>
  </si>
  <si>
    <t>Milestone 3: Build Hybrid RAG Semantic Search Pipeline (Graph + Vector)</t>
  </si>
  <si>
    <t>US-004, US-005</t>
  </si>
  <si>
    <t>S5</t>
  </si>
  <si>
    <t>US-007</t>
  </si>
  <si>
    <t>Milestone 4: Build graph visualization UI &amp; integrate FastAPI endpoints</t>
  </si>
  <si>
    <t>US-006, FastAPI, React</t>
  </si>
  <si>
    <t>2- In Progress</t>
  </si>
  <si>
    <t>S6</t>
  </si>
  <si>
    <t>US-008</t>
  </si>
  <si>
    <t>Milestone 4: Finalize interactive dashboards and deploy system to Cloud</t>
  </si>
  <si>
    <t>US-007, Docker, Cloud</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</si>
  <si>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</si>
  <si>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</si>
  <si>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</si>
  <si>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</si>
  <si>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</si>
  <si>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</si>
  <si>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</si>
  <si>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</si>
  <si>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</si>
  <si>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</si>
  <si>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</si>
  <si>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</si>
  <si>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</si>
  <si>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</si>
  <si>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</si>
  <si>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</si>
  <si>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</si>
  <si>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</si>
  <si>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</si>
  <si>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</si>
  <si>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</si>
  <si>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</si>
  <si>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</si>
  <si>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Download Enron dataset from Kaggle</t>
  </si>
  <si>
    <t>Sivaraju Saketh,Sudheeshna sharma</t>
  </si>
  <si>
    <t>Others</t>
  </si>
  <si>
    <t>Perform initial EDA on CSV structure</t>
  </si>
  <si>
    <t>Write Python preprocessing scripts</t>
  </si>
  <si>
    <t>Coding</t>
  </si>
  <si>
    <t>Provision Neo4j local/AuraDB instance</t>
  </si>
  <si>
    <t>Sivaraju Saketh,D sumanth</t>
  </si>
  <si>
    <t>Design</t>
  </si>
  <si>
    <t>Design ER schema (Person, Org, edges)</t>
  </si>
  <si>
    <t>Write base Cypher script to load metadata</t>
  </si>
  <si>
    <t>Configure Ollama API (ministral-3:14b)</t>
  </si>
  <si>
    <t>Engineer strict JSON prompt for NER</t>
  </si>
  <si>
    <t>Write extraction client + auto-retry logic</t>
  </si>
  <si>
    <t>Develop dynamic Cypher merge queries</t>
  </si>
  <si>
    <t>Execute pipeline on 1,000 emails</t>
  </si>
  <si>
    <t>Sivaraju Saketh,D sumanth,Purna Chandra</t>
  </si>
  <si>
    <t>Integration Test</t>
  </si>
  <si>
    <t>Validate topological graph density</t>
  </si>
  <si>
    <t>Regression Test</t>
  </si>
  <si>
    <t>5.1\</t>
  </si>
  <si>
    <t>Create Pinecone Serverless index</t>
  </si>
  <si>
    <t>Build</t>
  </si>
  <si>
    <t>Assemble hybrid context payload</t>
  </si>
  <si>
    <t>Upsert 1024-dim vectors to Pinecone</t>
  </si>
  <si>
    <t>Write regex stopword filtration logic</t>
  </si>
  <si>
    <t>Implement dual-retrieval functions</t>
  </si>
  <si>
    <t>Develop FastAPI endpoints</t>
  </si>
  <si>
    <t>Build React interface</t>
  </si>
  <si>
    <t>Integrate graph visualization UI</t>
  </si>
  <si>
    <t xml:space="preserve"> </t>
  </si>
  <si>
    <t xml:space="preserve">Sprint </t>
  </si>
  <si>
    <t>Day</t>
  </si>
  <si>
    <t>Impediments</t>
  </si>
  <si>
    <t>Action Taken</t>
  </si>
  <si>
    <t>Sprint 1</t>
  </si>
  <si>
    <t>Enron dataset contains too much messy metadata/headers.</t>
  </si>
  <si>
    <t>Wrote regex scripts to clean and strip email headers before ingestion.</t>
  </si>
  <si>
    <t>Sprint 3</t>
  </si>
  <si>
    <t>LLM API rate limits causing timeout errors during bulk NER extraction.</t>
  </si>
  <si>
    <t>Implemented batching (Batch Size: 10) and exponential backoff retry logic.</t>
  </si>
  <si>
    <t>Sprint 4</t>
  </si>
  <si>
    <t>Duplicate entity nodes being created in Neo4j (e.g., "Enron" vs "enron").</t>
  </si>
  <si>
    <t>Added data normalization step to lowercase/strip strings before Cypher MERGE.</t>
  </si>
  <si>
    <t>Sprint 5</t>
  </si>
  <si>
    <t>Pinecone index dimensionality mismatch error on upload.</t>
  </si>
  <si>
    <t>Updated index schema to strictly match llama-text-embed-v2 1024 dimensions.</t>
  </si>
  <si>
    <t>Sprint 7</t>
  </si>
  <si>
    <t>UI struggling to render the large Neo4j graph visually.</t>
  </si>
  <si>
    <t>Limiting the visual graph query to only show Top-5 related nodes per search.</t>
  </si>
  <si>
    <t>SL #</t>
  </si>
  <si>
    <t>Sprint #</t>
  </si>
  <si>
    <t>Sprint start date</t>
  </si>
  <si>
    <t>Sprint end date</t>
  </si>
  <si>
    <t xml:space="preserve">Team member name </t>
  </si>
  <si>
    <t>Start Doing</t>
  </si>
  <si>
    <t xml:space="preserve">Stop Doing </t>
  </si>
  <si>
    <t xml:space="preserve">Continue Doing </t>
  </si>
  <si>
    <t>Action taken</t>
  </si>
  <si>
    <t>Standardizing our Cypher query syntax earlier.</t>
  </si>
  <si>
    <t>Manually cleaning data line-by-line.</t>
  </si>
  <si>
    <t>Pair programming for database schema design.</t>
  </si>
  <si>
    <t>Shared standardized Data Preprocessing scripts on GitHub.</t>
  </si>
  <si>
    <t>Sprint 2</t>
  </si>
  <si>
    <t>Writing automated tests for JSON extraction from the LLM.</t>
  </si>
  <si>
    <t>Ignoring malformed JSON errors from the LLM.</t>
  </si>
  <si>
    <t>Validating graph node relationships visually.</t>
  </si>
  <si>
    <t>Implemented a self-correction loop in Python to fix LLM JSON errors.</t>
  </si>
  <si>
    <t>Harshil Joseph</t>
  </si>
  <si>
    <t>Testing edge-case queries on the Hybrid RAG payload.</t>
  </si>
  <si>
    <t>Passing whole emails to the prompt (token limits).</t>
  </si>
  <si>
    <t>Strictly bounding Graph facts to Top-5.</t>
  </si>
  <si>
    <t>Integrated LangChain text splitters for better context window management.</t>
  </si>
  <si>
    <t>sprint 4</t>
  </si>
  <si>
    <t>D Sumanth,Purna Chandra</t>
  </si>
  <si>
    <t>Setting up CI/CD pipelines for automated deployment.</t>
  </si>
  <si>
    <t>Testing APIs manually without a standard tool like Swagger.</t>
  </si>
  <si>
    <t>Keeping Docker containers lightweight and secure.</t>
  </si>
  <si>
    <t>Created a standardized Dockerfile and automated API test suite.</t>
  </si>
  <si>
    <t>Sudeshna Sharma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</si>
</sst>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3" x14ac:knownFonts="1">
    <font>
      <sz val="10"/>
      <name val="Arial"/>
      <family val="2"/>
    </font>
    <font>
      <b/>
      <sz val="10"/>
      <name val="Arial"/>
      <family val="2"/>
    </font>
    <font>
      <b/>
      <sz val="8"/>
      <name val="Arial"/>
      <family val="2"/>
    </font>
    <font>
      <b/>
      <sz val="8"/>
      <color indexed="9"/>
      <name val="Arial"/>
      <family val="2"/>
    </font>
    <font>
      <sz val="8"/>
      <name val="Arial"/>
      <family val="2"/>
    </font>
    <font>
      <sz val="9"/>
      <name val="Arial"/>
      <family val="2"/>
    </font>
    <font>
      <sz val="11"/>
      <name val="Arial"/>
      <family val="2"/>
    </font>
    <font>
      <sz val="9"/>
      <name val="Tahoma"/>
      <family val="2"/>
    </font>
    <font>
      <sz val="10"/>
      <name val="Arial"/>
      <family val="2"/>
    </font>
    <font>
      <sz val="10"/>
      <color theme="1"/>
      <name val="Arial"/>
      <family val="2"/>
    </font>
    <font>
      <b/>
      <sz val="8"/>
      <color theme="1"/>
      <name val="Arial"/>
      <family val="2"/>
    </font>
    <font>
      <b/>
      <sz val="10"/>
      <color theme="1"/>
      <name val="Arial"/>
      <family val="2"/>
    </font>
    <font>
      <b/>
      <sz val="12"/>
      <color theme="1"/>
      <name val="Arial"/>
      <family val="2"/>
    </font>
  </fonts>
  <fills count="9">
    <fill>
      <patternFill patternType="none"/>
    </fill>
    <fill>
      <patternFill patternType="gray125"/>
    </fill>
    <fill>
      <patternFill patternType="solid">
        <fgColor theme="6" tint="0.79998168889431442"/>
        <bgColor indexed="64"/>
      </patternFill>
    </fill>
    <fill>
      <patternFill patternType="solid">
        <fgColor theme="6"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rgb="FFFFC000"/>
        <bgColor indexed="64"/>
      </patternFill>
    </fill>
    <fill>
      <patternFill patternType="solid">
        <fgColor theme="0" tint="-0.249977111117893"/>
        <bgColor indexed="64"/>
      </patternFill>
    </fill>
    <fill>
      <patternFill patternType="solid">
        <fgColor rgb="FF92D05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s>
  <cellStyleXfs count="6">
    <xf numFmtId="0" fontId="0" fillId="0" borderId="0"/>
    <xf numFmtId="0" fontId="8" fillId="0" borderId="0"/>
    <xf numFmtId="0" fontId="8" fillId="0" borderId="0"/>
    <xf numFmtId="0" fontId="8" fillId="0" borderId="0"/>
    <xf numFmtId="0" fontId="8" fillId="0" borderId="0"/>
    <xf numFmtId="0" fontId="8" fillId="0" borderId="0"/>
  </cellStyleXfs>
  <cellXfs count="86">
    <xf numFmtId="0" fontId="0" fillId="0" borderId="0" xfId="0"/>
    <xf numFmtId="0" fontId="0" fillId="0" borderId="0" xfId="0" applyFont="1" applyAlignment="1">
      <alignment horizontal="center" vertical="center" wrapText="1"/>
    </xf>
    <xf numFmtId="0" fontId="0" fillId="0" borderId="0" xfId="0" applyFont="1" applyFill="1"/>
    <xf numFmtId="0" fontId="0" fillId="0" borderId="0" xfId="0" applyFont="1"/>
    <xf numFmtId="0" fontId="0" fillId="0" borderId="0" xfId="0" applyFont="1" applyAlignment="1">
      <alignment horizontal="center" vertical="center"/>
    </xf>
    <xf numFmtId="0" fontId="0" fillId="0" borderId="0" xfId="0" applyFont="1" applyAlignment="1">
      <alignment wrapText="1"/>
    </xf>
    <xf numFmtId="0" fontId="1" fillId="4" borderId="1" xfId="0" applyFont="1" applyFill="1" applyBorder="1" applyAlignment="1">
      <alignment horizontal="center" vertical="center" wrapText="1"/>
    </xf>
    <xf numFmtId="0" fontId="0" fillId="0" borderId="1" xfId="0" applyFont="1" applyFill="1" applyBorder="1" applyAlignment="1">
      <alignment horizontal="center" vertical="center"/>
    </xf>
    <xf numFmtId="14" fontId="0" fillId="0" borderId="1" xfId="0" applyNumberFormat="1" applyFont="1" applyFill="1" applyBorder="1" applyAlignment="1">
      <alignment horizontal="center" vertical="center"/>
    </xf>
    <xf numFmtId="0" fontId="0" fillId="0" borderId="1" xfId="0" applyFont="1" applyFill="1" applyBorder="1" applyAlignment="1">
      <alignment vertical="center"/>
    </xf>
    <xf numFmtId="0" fontId="0" fillId="0" borderId="1" xfId="0" applyFont="1" applyFill="1" applyBorder="1" applyAlignment="1">
      <alignment horizontal="center" vertical="center" wrapText="1"/>
    </xf>
    <xf numFmtId="0" fontId="9" fillId="0" borderId="1" xfId="0" applyFont="1" applyFill="1" applyBorder="1" applyAlignment="1">
      <alignment vertical="center" wrapText="1"/>
    </xf>
    <xf numFmtId="0" fontId="0" fillId="0" borderId="1" xfId="0" applyFont="1" applyFill="1" applyBorder="1" applyAlignment="1">
      <alignment horizontal="left" vertical="center" wrapText="1"/>
    </xf>
    <xf numFmtId="0" fontId="0" fillId="0" borderId="0" xfId="0" applyFont="1" applyFill="1" applyAlignment="1">
      <alignment vertical="center" wrapText="1"/>
    </xf>
    <xf numFmtId="0" fontId="0" fillId="0" borderId="1" xfId="0" applyFont="1" applyFill="1" applyBorder="1" applyAlignment="1">
      <alignment horizontal="left" vertical="top" wrapText="1"/>
    </xf>
    <xf numFmtId="0" fontId="0" fillId="0" borderId="0" xfId="0" applyBorder="1"/>
    <xf numFmtId="0" fontId="2" fillId="3" borderId="1" xfId="0" applyFont="1" applyFill="1" applyBorder="1" applyAlignment="1">
      <alignment horizontal="center" vertical="center" wrapText="1"/>
    </xf>
    <xf numFmtId="0" fontId="1" fillId="0" borderId="0" xfId="0" applyFont="1"/>
    <xf numFmtId="0" fontId="0" fillId="0" borderId="1" xfId="0" applyBorder="1" applyAlignment="1">
      <alignment horizontal="left" vertical="center" wrapText="1"/>
    </xf>
    <xf numFmtId="0" fontId="0" fillId="0" borderId="1" xfId="0" applyBorder="1" applyAlignment="1">
      <alignment wrapText="1"/>
    </xf>
    <xf numFmtId="0" fontId="0" fillId="0" borderId="1" xfId="0" applyFont="1" applyBorder="1" applyAlignment="1">
      <alignment horizontal="left" vertical="center" wrapText="1"/>
    </xf>
    <xf numFmtId="0" fontId="3" fillId="0" borderId="0" xfId="0" applyFont="1" applyFill="1" applyBorder="1" applyAlignment="1" applyProtection="1">
      <alignment horizontal="center" vertical="center" wrapText="1"/>
      <protection locked="0"/>
    </xf>
    <xf numFmtId="0" fontId="4" fillId="0" borderId="0" xfId="0" applyFont="1" applyProtection="1">
      <protection locked="0"/>
    </xf>
    <xf numFmtId="0" fontId="4" fillId="0" borderId="0" xfId="0" applyFont="1" applyAlignment="1" applyProtection="1">
      <alignment horizontal="right" wrapText="1"/>
      <protection locked="0"/>
    </xf>
    <xf numFmtId="0" fontId="0" fillId="0" borderId="0" xfId="0" applyFont="1" applyAlignment="1" applyProtection="1">
      <alignment vertical="top" wrapText="1"/>
      <protection locked="0"/>
    </xf>
    <xf numFmtId="0" fontId="0" fillId="0" borderId="0" xfId="0" applyFont="1" applyAlignment="1" applyProtection="1">
      <alignment horizontal="center" vertical="center" wrapText="1"/>
      <protection locked="0"/>
    </xf>
    <xf numFmtId="164" fontId="0" fillId="0" borderId="0" xfId="0" applyNumberFormat="1" applyFont="1" applyBorder="1" applyAlignment="1" applyProtection="1">
      <alignment wrapText="1"/>
      <protection locked="0"/>
    </xf>
    <xf numFmtId="0" fontId="4" fillId="0" borderId="0" xfId="0" applyFont="1" applyAlignment="1" applyProtection="1">
      <alignment wrapText="1"/>
      <protection locked="0"/>
    </xf>
    <xf numFmtId="0" fontId="4" fillId="0" borderId="0" xfId="0" applyFont="1" applyBorder="1" applyProtection="1">
      <protection locked="0"/>
    </xf>
    <xf numFmtId="0" fontId="0" fillId="6" borderId="2" xfId="0" applyFont="1" applyFill="1" applyBorder="1" applyAlignment="1" applyProtection="1">
      <alignment vertical="center"/>
    </xf>
    <xf numFmtId="0" fontId="0" fillId="6" borderId="0" xfId="0" applyFont="1" applyFill="1" applyBorder="1" applyAlignment="1" applyProtection="1">
      <alignment vertical="center"/>
    </xf>
    <xf numFmtId="0" fontId="0" fillId="0" borderId="1" xfId="0" applyFont="1" applyBorder="1" applyAlignment="1" applyProtection="1">
      <alignment vertical="center"/>
      <protection locked="0"/>
    </xf>
    <xf numFmtId="0" fontId="0" fillId="0" borderId="9" xfId="0" applyFont="1" applyFill="1" applyBorder="1" applyAlignment="1" applyProtection="1">
      <alignment horizontal="center" vertical="center" wrapText="1"/>
      <protection locked="0"/>
    </xf>
    <xf numFmtId="0" fontId="0" fillId="0" borderId="8" xfId="0" applyFont="1" applyFill="1" applyBorder="1" applyAlignment="1" applyProtection="1">
      <alignment horizontal="left" vertical="center" wrapText="1"/>
      <protection locked="0"/>
    </xf>
    <xf numFmtId="164" fontId="0" fillId="0" borderId="10" xfId="0" applyNumberFormat="1" applyFont="1" applyBorder="1" applyAlignment="1" applyProtection="1">
      <alignment horizontal="center" vertical="center" wrapText="1"/>
      <protection locked="0"/>
    </xf>
    <xf numFmtId="0" fontId="0" fillId="0" borderId="10" xfId="0" applyFont="1" applyBorder="1" applyAlignment="1" applyProtection="1">
      <alignment horizontal="center" vertical="center" wrapText="1"/>
      <protection locked="0"/>
    </xf>
    <xf numFmtId="15" fontId="0" fillId="0" borderId="11" xfId="0" applyNumberFormat="1" applyFont="1" applyBorder="1" applyAlignment="1" applyProtection="1">
      <alignment horizontal="center" vertical="center" wrapText="1"/>
      <protection locked="0"/>
    </xf>
    <xf numFmtId="0" fontId="5" fillId="0" borderId="1" xfId="0" applyFont="1" applyBorder="1" applyAlignment="1" applyProtection="1">
      <alignment horizontal="center" vertical="center" wrapText="1"/>
      <protection locked="0"/>
    </xf>
    <xf numFmtId="0" fontId="0" fillId="0" borderId="1" xfId="0" applyFont="1" applyBorder="1" applyAlignment="1" applyProtection="1">
      <alignment horizontal="left" vertical="center"/>
      <protection locked="0"/>
    </xf>
    <xf numFmtId="0" fontId="0" fillId="0" borderId="1" xfId="0" applyFont="1" applyBorder="1" applyAlignment="1" applyProtection="1">
      <alignment horizontal="left" vertical="center" wrapText="1"/>
      <protection locked="0"/>
    </xf>
    <xf numFmtId="0" fontId="0" fillId="0" borderId="1" xfId="0" applyFont="1" applyBorder="1" applyAlignment="1" applyProtection="1">
      <alignment vertical="center" wrapText="1"/>
      <protection locked="0"/>
    </xf>
    <xf numFmtId="0" fontId="0" fillId="0" borderId="1" xfId="0" applyFont="1" applyBorder="1" applyAlignment="1" applyProtection="1">
      <alignment wrapText="1"/>
      <protection locked="0"/>
    </xf>
    <xf numFmtId="15" fontId="0" fillId="0" borderId="12" xfId="0" applyNumberFormat="1" applyFont="1" applyBorder="1" applyProtection="1">
      <protection locked="0"/>
    </xf>
    <xf numFmtId="15" fontId="0" fillId="0" borderId="9" xfId="0" applyNumberFormat="1" applyFont="1" applyBorder="1" applyProtection="1">
      <protection locked="0"/>
    </xf>
    <xf numFmtId="0" fontId="0" fillId="0" borderId="1" xfId="0" applyFont="1" applyBorder="1" applyProtection="1">
      <protection locked="0"/>
    </xf>
    <xf numFmtId="15" fontId="0" fillId="0" borderId="10" xfId="0" applyNumberFormat="1" applyFont="1" applyBorder="1" applyProtection="1">
      <protection locked="0"/>
    </xf>
    <xf numFmtId="0" fontId="0" fillId="0" borderId="0" xfId="0" applyFont="1" applyProtection="1">
      <protection locked="0"/>
    </xf>
    <xf numFmtId="15" fontId="0" fillId="0" borderId="1" xfId="0" applyNumberFormat="1" applyFont="1" applyBorder="1" applyProtection="1">
      <protection locked="0"/>
    </xf>
    <xf numFmtId="0" fontId="0" fillId="0" borderId="0" xfId="0" applyFont="1" applyBorder="1" applyAlignment="1" applyProtection="1">
      <alignment horizontal="center" vertical="center"/>
      <protection locked="0"/>
    </xf>
    <xf numFmtId="0" fontId="0" fillId="0" borderId="13" xfId="0" applyFont="1" applyFill="1" applyBorder="1" applyAlignment="1" applyProtection="1">
      <alignment horizontal="center" vertical="center" wrapText="1"/>
      <protection locked="0"/>
    </xf>
    <xf numFmtId="0" fontId="0" fillId="0" borderId="13" xfId="0" applyFont="1" applyBorder="1" applyAlignment="1" applyProtection="1">
      <alignment wrapText="1"/>
      <protection locked="0"/>
    </xf>
    <xf numFmtId="15" fontId="0" fillId="0" borderId="13" xfId="0" applyNumberFormat="1" applyFont="1" applyBorder="1" applyAlignment="1" applyProtection="1">
      <alignment horizontal="center" vertical="center" wrapText="1"/>
      <protection locked="0"/>
    </xf>
    <xf numFmtId="15" fontId="0" fillId="0" borderId="0" xfId="0" applyNumberFormat="1" applyFont="1" applyBorder="1" applyAlignment="1" applyProtection="1">
      <alignment horizontal="center" vertical="center" wrapText="1"/>
      <protection locked="0"/>
    </xf>
    <xf numFmtId="0" fontId="10" fillId="7" borderId="14" xfId="0" applyFont="1" applyFill="1" applyBorder="1" applyAlignment="1" applyProtection="1">
      <alignment horizontal="center" vertical="center" wrapText="1"/>
    </xf>
    <xf numFmtId="0" fontId="10" fillId="7" borderId="1" xfId="0" applyFont="1" applyFill="1" applyBorder="1" applyAlignment="1" applyProtection="1">
      <alignment horizontal="center" vertical="center" wrapText="1"/>
    </xf>
    <xf numFmtId="0" fontId="10" fillId="8" borderId="5" xfId="0" applyFont="1" applyFill="1" applyBorder="1" applyAlignment="1" applyProtection="1">
      <alignment horizontal="center" vertical="center" wrapText="1"/>
    </xf>
    <xf numFmtId="0" fontId="0" fillId="0" borderId="10" xfId="2" applyNumberFormat="1" applyFont="1" applyBorder="1" applyAlignment="1" applyProtection="1">
      <alignment horizontal="center" vertical="center"/>
      <protection locked="0"/>
    </xf>
    <xf numFmtId="0" fontId="0" fillId="0" borderId="1" xfId="2" applyFont="1" applyBorder="1" applyAlignment="1" applyProtection="1">
      <alignment horizontal="center" vertical="center"/>
      <protection locked="0"/>
    </xf>
    <xf numFmtId="0" fontId="0" fillId="0" borderId="13" xfId="2" applyFont="1" applyBorder="1" applyAlignment="1" applyProtection="1">
      <alignment horizontal="center" vertical="center"/>
      <protection locked="0"/>
    </xf>
    <xf numFmtId="0" fontId="0" fillId="6" borderId="15" xfId="0" applyFont="1" applyFill="1" applyBorder="1" applyAlignment="1" applyProtection="1">
      <alignment vertical="center"/>
    </xf>
    <xf numFmtId="0" fontId="0" fillId="0" borderId="10" xfId="2" applyFont="1" applyBorder="1" applyAlignment="1" applyProtection="1">
      <alignment horizontal="center" vertical="center"/>
      <protection locked="0"/>
    </xf>
    <xf numFmtId="0" fontId="10" fillId="5" borderId="1" xfId="0" applyFont="1" applyFill="1" applyBorder="1" applyAlignment="1">
      <alignment horizontal="center" vertical="center" textRotation="90" wrapText="1"/>
    </xf>
    <xf numFmtId="0" fontId="10" fillId="5" borderId="5" xfId="0" applyFont="1" applyFill="1" applyBorder="1" applyAlignment="1">
      <alignment horizontal="center" vertical="center" wrapText="1"/>
    </xf>
    <xf numFmtId="0" fontId="6" fillId="0" borderId="1" xfId="0" applyFont="1" applyFill="1" applyBorder="1" applyAlignment="1">
      <alignment horizontal="center" vertical="center" wrapText="1"/>
    </xf>
    <xf numFmtId="0" fontId="6" fillId="0" borderId="1" xfId="0" applyFont="1" applyBorder="1"/>
    <xf numFmtId="0" fontId="6" fillId="0" borderId="8" xfId="0" applyFont="1" applyFill="1" applyBorder="1" applyAlignment="1">
      <alignment horizontal="left" vertical="center"/>
    </xf>
    <xf numFmtId="0" fontId="6" fillId="0" borderId="1" xfId="0" applyFont="1" applyBorder="1" applyAlignment="1">
      <alignment horizontal="center" vertical="center" wrapText="1"/>
    </xf>
    <xf numFmtId="0" fontId="6" fillId="0" borderId="1" xfId="0" applyFont="1" applyBorder="1" applyAlignment="1">
      <alignment horizontal="left" vertical="center"/>
    </xf>
    <xf numFmtId="0" fontId="6" fillId="0" borderId="1" xfId="0" applyFont="1" applyBorder="1" applyAlignment="1">
      <alignment vertical="center" wrapText="1"/>
    </xf>
    <xf numFmtId="0" fontId="4" fillId="0" borderId="1" xfId="0" applyFont="1" applyFill="1" applyBorder="1" applyAlignment="1">
      <alignment horizontal="center" vertical="center" wrapText="1"/>
    </xf>
    <xf numFmtId="0" fontId="0" fillId="0" borderId="1" xfId="0"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5" fillId="0" borderId="1" xfId="0" applyFont="1" applyFill="1" applyBorder="1" applyAlignment="1">
      <alignment horizontal="center" vertical="center" wrapText="1"/>
    </xf>
    <xf numFmtId="0" fontId="0" fillId="0" borderId="1" xfId="0" applyFont="1" applyBorder="1" applyAlignment="1">
      <alignment vertical="center" wrapText="1"/>
    </xf>
    <xf numFmtId="0" fontId="12" fillId="2" borderId="1" xfId="0" applyFont="1" applyFill="1" applyBorder="1" applyAlignment="1" applyProtection="1">
      <alignment horizontal="center" vertical="center" wrapText="1"/>
    </xf>
    <xf numFmtId="49" fontId="10" fillId="7" borderId="3" xfId="0" applyNumberFormat="1" applyFont="1" applyFill="1" applyBorder="1" applyAlignment="1" applyProtection="1">
      <alignment horizontal="center" vertical="center" wrapText="1"/>
    </xf>
    <xf numFmtId="49" fontId="10" fillId="7" borderId="6" xfId="0" applyNumberFormat="1" applyFont="1" applyFill="1" applyBorder="1" applyAlignment="1" applyProtection="1">
      <alignment horizontal="center" vertical="center" wrapText="1"/>
    </xf>
    <xf numFmtId="0" fontId="10" fillId="7" borderId="4" xfId="0" applyFont="1" applyFill="1" applyBorder="1" applyAlignment="1" applyProtection="1">
      <alignment horizontal="center" vertical="center" wrapText="1"/>
    </xf>
    <xf numFmtId="0" fontId="10" fillId="7" borderId="7" xfId="0" applyFont="1" applyFill="1" applyBorder="1" applyAlignment="1" applyProtection="1">
      <alignment horizontal="center" vertical="center" wrapText="1"/>
    </xf>
    <xf numFmtId="0" fontId="11" fillId="7" borderId="5" xfId="0" applyFont="1" applyFill="1" applyBorder="1" applyAlignment="1" applyProtection="1">
      <alignment horizontal="center" vertical="center" wrapText="1"/>
    </xf>
    <xf numFmtId="0" fontId="11" fillId="7" borderId="8" xfId="0" applyFont="1" applyFill="1" applyBorder="1" applyAlignment="1" applyProtection="1">
      <alignment horizontal="center" vertical="center" wrapText="1"/>
    </xf>
    <xf numFmtId="164" fontId="11" fillId="7" borderId="5" xfId="0" applyNumberFormat="1" applyFont="1" applyFill="1" applyBorder="1" applyAlignment="1" applyProtection="1">
      <alignment horizontal="center" vertical="center" wrapText="1"/>
    </xf>
    <xf numFmtId="164" fontId="11" fillId="7" borderId="8" xfId="0" applyNumberFormat="1" applyFont="1" applyFill="1" applyBorder="1" applyAlignment="1" applyProtection="1">
      <alignment horizontal="center" vertical="center" wrapText="1"/>
    </xf>
    <xf numFmtId="0" fontId="10" fillId="7" borderId="5" xfId="0" applyFont="1" applyFill="1" applyBorder="1" applyAlignment="1" applyProtection="1">
      <alignment horizontal="center" vertical="center" wrapText="1"/>
    </xf>
    <xf numFmtId="0" fontId="10" fillId="7" borderId="8" xfId="0" applyFont="1" applyFill="1" applyBorder="1" applyAlignment="1" applyProtection="1">
      <alignment horizontal="center" vertical="center" wrapText="1"/>
    </xf>
  </cellXfs>
  <cellStyles count="6">
    <cellStyle name="Jun" xfId="1" xr:uid="{2C545C75-9CD3-4B21-8320-8C993E59D48E}"/>
    <cellStyle name="Normal" xfId="0" builtinId="0"/>
    <cellStyle name="Normal 2" xfId="2" xr:uid="{AFABB601-73BC-4E48-AEE2-1198357EF6C0}"/>
    <cellStyle name="Normal 3" xfId="3" xr:uid="{E20C6A86-04C0-437F-97A3-7C61C6019D2D}"/>
    <cellStyle name="Normal 3 2" xfId="4" xr:uid="{54EFC916-F660-4DA9-928C-EAB8C8A22861}"/>
    <cellStyle name="Normal 4 2" xfId="5" xr:uid="{5156A05F-C48E-4737-B442-2E4862A4CCE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 /><Relationship Id="rId13" Type="http://schemas.microsoft.com/office/2006/relationships/vbaProject" Target="vbaProject.bin" /><Relationship Id="rId3" Type="http://schemas.openxmlformats.org/officeDocument/2006/relationships/worksheet" Target="worksheets/sheet3.xml" /><Relationship Id="rId7" Type="http://schemas.openxmlformats.org/officeDocument/2006/relationships/sharedStrings" Target="sharedStrings.xml" /><Relationship Id="rId12" Type="http://schemas.openxmlformats.org/officeDocument/2006/relationships/customXml" Target="../customXml/item4.xml" /><Relationship Id="rId2" Type="http://schemas.openxmlformats.org/officeDocument/2006/relationships/worksheet" Target="worksheets/sheet2.xml" /><Relationship Id="rId1" Type="http://schemas.openxmlformats.org/officeDocument/2006/relationships/worksheet" Target="worksheets/sheet1.xml" /><Relationship Id="rId6" Type="http://schemas.openxmlformats.org/officeDocument/2006/relationships/styles" Target="styles.xml" /><Relationship Id="rId11" Type="http://schemas.openxmlformats.org/officeDocument/2006/relationships/customXml" Target="../customXml/item3.xml" /><Relationship Id="rId5" Type="http://schemas.openxmlformats.org/officeDocument/2006/relationships/theme" Target="theme/theme1.xml" /><Relationship Id="rId10" Type="http://schemas.openxmlformats.org/officeDocument/2006/relationships/customXml" Target="../customXml/item2.xml" /><Relationship Id="rId4" Type="http://schemas.openxmlformats.org/officeDocument/2006/relationships/worksheet" Target="worksheets/sheet4.xml" /><Relationship Id="rId9" Type="http://schemas.openxmlformats.org/officeDocument/2006/relationships/customXml" Target="../customXml/item1.xml" /></Relationships>
</file>

<file path=xl/theme/theme1.xml><?xml version="1.0" encoding="utf-8"?>
<a:theme xmlns:a="http://schemas.openxmlformats.org/drawingml/2006/main" name="Off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mbria-Calibri">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 /><Relationship Id="rId1" Type="http://schemas.openxmlformats.org/officeDocument/2006/relationships/vmlDrawing" Target="../drawings/vmlDrawing1.vml" /></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 /><Relationship Id="rId1"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5EDF8-D236-4FF4-AD7D-6A10F8C9EF89}">
  <sheetPr codeName="Sheet3"/>
  <dimension ref="A1:H50"/>
  <sheetViews>
    <sheetView zoomScale="88" workbookViewId="0">
      <selection activeCell="G9" sqref="G9"/>
    </sheetView>
  </sheetViews>
  <sheetFormatPr defaultColWidth="8.8984375" defaultRowHeight="12.75" x14ac:dyDescent="0.15"/>
  <cols>
    <col min="2" max="2" width="12.40625" customWidth="1"/>
    <col min="4" max="4" width="82.80078125" customWidth="1"/>
    <col min="5" max="5" width="15.5078125" customWidth="1"/>
    <col min="6" max="6" width="15.1015625" customWidth="1"/>
    <col min="7" max="7" width="14.15625" customWidth="1"/>
    <col min="8" max="8" width="20.359375" customWidth="1"/>
  </cols>
  <sheetData>
    <row r="1" spans="1:8" ht="75.75" customHeight="1" x14ac:dyDescent="0.15">
      <c r="A1" s="61" t="s">
        <v>0</v>
      </c>
      <c r="B1" s="61" t="s">
        <v>1</v>
      </c>
      <c r="C1" s="62" t="s">
        <v>2</v>
      </c>
      <c r="D1" s="62" t="s">
        <v>3</v>
      </c>
      <c r="E1" s="62" t="s">
        <v>4</v>
      </c>
      <c r="F1" s="62" t="s">
        <v>5</v>
      </c>
      <c r="G1" s="62" t="s">
        <v>6</v>
      </c>
      <c r="H1" s="62" t="s">
        <v>7</v>
      </c>
    </row>
    <row r="2" spans="1:8" ht="37.5" customHeight="1" x14ac:dyDescent="0.15">
      <c r="A2" s="63" t="s">
        <v>8</v>
      </c>
      <c r="B2" s="63" t="s">
        <v>8</v>
      </c>
      <c r="C2" s="64" t="s">
        <v>9</v>
      </c>
      <c r="D2" s="65" t="s">
        <v>10</v>
      </c>
      <c r="E2" s="66" t="s">
        <v>11</v>
      </c>
      <c r="F2" s="66" t="s">
        <v>12</v>
      </c>
      <c r="G2" s="63" t="s">
        <v>13</v>
      </c>
      <c r="H2" s="66" t="s">
        <v>14</v>
      </c>
    </row>
    <row r="3" spans="1:8" ht="33.75" customHeight="1" x14ac:dyDescent="0.15">
      <c r="A3" s="63" t="s">
        <v>8</v>
      </c>
      <c r="B3" s="63" t="s">
        <v>8</v>
      </c>
      <c r="C3" s="64" t="s">
        <v>15</v>
      </c>
      <c r="D3" s="67" t="s">
        <v>16</v>
      </c>
      <c r="E3" s="66" t="s">
        <v>11</v>
      </c>
      <c r="F3" s="66" t="s">
        <v>17</v>
      </c>
      <c r="G3" s="66" t="s">
        <v>18</v>
      </c>
      <c r="H3" s="66" t="s">
        <v>14</v>
      </c>
    </row>
    <row r="4" spans="1:8" ht="27.75" customHeight="1" x14ac:dyDescent="0.15">
      <c r="A4" s="63" t="s">
        <v>19</v>
      </c>
      <c r="B4" s="63" t="s">
        <v>19</v>
      </c>
      <c r="C4" s="64" t="s">
        <v>20</v>
      </c>
      <c r="D4" s="67" t="s">
        <v>21</v>
      </c>
      <c r="E4" s="66" t="s">
        <v>11</v>
      </c>
      <c r="F4" s="66" t="s">
        <v>22</v>
      </c>
      <c r="G4" s="66" t="s">
        <v>23</v>
      </c>
      <c r="H4" s="66" t="s">
        <v>14</v>
      </c>
    </row>
    <row r="5" spans="1:8" ht="29.25" customHeight="1" x14ac:dyDescent="0.15">
      <c r="A5" s="63" t="s">
        <v>19</v>
      </c>
      <c r="B5" s="63" t="s">
        <v>19</v>
      </c>
      <c r="C5" s="64" t="s">
        <v>24</v>
      </c>
      <c r="D5" s="67" t="s">
        <v>25</v>
      </c>
      <c r="E5" s="66" t="s">
        <v>11</v>
      </c>
      <c r="F5" s="66" t="s">
        <v>26</v>
      </c>
      <c r="G5" s="63" t="s">
        <v>27</v>
      </c>
      <c r="H5" s="66" t="s">
        <v>14</v>
      </c>
    </row>
    <row r="6" spans="1:8" ht="26.25" x14ac:dyDescent="0.15">
      <c r="A6" s="63" t="s">
        <v>28</v>
      </c>
      <c r="B6" s="63" t="s">
        <v>28</v>
      </c>
      <c r="C6" s="64" t="s">
        <v>29</v>
      </c>
      <c r="D6" s="67" t="s">
        <v>30</v>
      </c>
      <c r="E6" s="66" t="s">
        <v>11</v>
      </c>
      <c r="F6" s="66" t="s">
        <v>31</v>
      </c>
      <c r="G6" s="66" t="s">
        <v>32</v>
      </c>
      <c r="H6" s="66" t="s">
        <v>14</v>
      </c>
    </row>
    <row r="7" spans="1:8" ht="13.5" x14ac:dyDescent="0.15">
      <c r="A7" s="63" t="s">
        <v>33</v>
      </c>
      <c r="B7" s="63" t="s">
        <v>33</v>
      </c>
      <c r="C7" s="64" t="s">
        <v>34</v>
      </c>
      <c r="D7" s="67" t="s">
        <v>35</v>
      </c>
      <c r="E7" s="66" t="s">
        <v>11</v>
      </c>
      <c r="F7" s="66" t="s">
        <v>36</v>
      </c>
      <c r="G7" s="66" t="s">
        <v>18</v>
      </c>
      <c r="H7" s="66" t="s">
        <v>14</v>
      </c>
    </row>
    <row r="8" spans="1:8" ht="26.25" x14ac:dyDescent="0.15">
      <c r="A8" s="63" t="s">
        <v>37</v>
      </c>
      <c r="B8" s="63" t="s">
        <v>37</v>
      </c>
      <c r="C8" s="64" t="s">
        <v>38</v>
      </c>
      <c r="D8" s="67" t="s">
        <v>39</v>
      </c>
      <c r="E8" s="66" t="s">
        <v>11</v>
      </c>
      <c r="F8" s="66" t="s">
        <v>40</v>
      </c>
      <c r="G8" t="s">
        <v>18</v>
      </c>
      <c r="H8" s="66" t="s">
        <v>41</v>
      </c>
    </row>
    <row r="9" spans="1:8" ht="51" x14ac:dyDescent="0.15">
      <c r="A9" s="63" t="s">
        <v>42</v>
      </c>
      <c r="B9" s="63" t="s">
        <v>42</v>
      </c>
      <c r="C9" s="64" t="s">
        <v>43</v>
      </c>
      <c r="D9" s="67" t="s">
        <v>44</v>
      </c>
      <c r="E9" s="66" t="s">
        <v>11</v>
      </c>
      <c r="F9" s="66" t="s">
        <v>45</v>
      </c>
      <c r="G9" s="63" t="s">
        <v>23</v>
      </c>
      <c r="H9" s="66" t="s">
        <v>41</v>
      </c>
    </row>
    <row r="10" spans="1:8" ht="13.5" x14ac:dyDescent="0.15">
      <c r="A10" s="63"/>
      <c r="B10" s="63"/>
      <c r="C10" s="64"/>
      <c r="D10" s="67"/>
      <c r="E10" s="66"/>
      <c r="F10" s="66"/>
      <c r="G10" s="63"/>
      <c r="H10" s="66"/>
    </row>
    <row r="11" spans="1:8" ht="13.5" x14ac:dyDescent="0.15">
      <c r="A11" s="63"/>
      <c r="B11" s="63"/>
      <c r="C11" s="64"/>
      <c r="D11" s="67"/>
      <c r="E11" s="66"/>
      <c r="F11" s="66"/>
      <c r="G11" s="63"/>
      <c r="H11" s="66"/>
    </row>
    <row r="12" spans="1:8" ht="13.5" x14ac:dyDescent="0.15">
      <c r="A12" s="63"/>
      <c r="B12" s="63"/>
      <c r="C12" s="64"/>
      <c r="D12" s="67"/>
      <c r="E12" s="66"/>
      <c r="F12" s="66"/>
      <c r="G12" s="63"/>
      <c r="H12" s="66"/>
    </row>
    <row r="13" spans="1:8" ht="13.5" x14ac:dyDescent="0.15">
      <c r="A13" s="63"/>
      <c r="B13" s="63"/>
      <c r="C13" s="64"/>
      <c r="D13" s="67"/>
      <c r="E13" s="66"/>
      <c r="F13" s="66"/>
      <c r="G13" s="63"/>
      <c r="H13" s="66"/>
    </row>
    <row r="14" spans="1:8" ht="13.5" x14ac:dyDescent="0.15">
      <c r="A14" s="63"/>
      <c r="B14" s="63"/>
      <c r="C14" s="64"/>
      <c r="D14" s="67"/>
      <c r="E14" s="66"/>
      <c r="F14" s="66"/>
      <c r="G14" s="63"/>
      <c r="H14" s="66"/>
    </row>
    <row r="15" spans="1:8" ht="13.5" x14ac:dyDescent="0.15">
      <c r="A15" s="63"/>
      <c r="B15" s="63"/>
      <c r="C15" s="64"/>
      <c r="D15" s="68"/>
      <c r="E15" s="66"/>
      <c r="F15" s="66"/>
      <c r="G15" s="63"/>
      <c r="H15" s="66"/>
    </row>
    <row r="16" spans="1:8" ht="13.5" x14ac:dyDescent="0.15">
      <c r="A16" s="63"/>
      <c r="B16" s="63"/>
      <c r="C16" s="64"/>
      <c r="D16" s="68"/>
      <c r="E16" s="66"/>
      <c r="F16" s="66"/>
      <c r="G16" s="66"/>
      <c r="H16" s="66"/>
    </row>
    <row r="17" spans="1:8" x14ac:dyDescent="0.15">
      <c r="A17" s="69"/>
      <c r="B17" s="69"/>
      <c r="C17" s="70"/>
      <c r="D17" s="71"/>
      <c r="E17" s="72"/>
      <c r="F17" s="72"/>
      <c r="G17" s="73"/>
      <c r="H17" s="72"/>
    </row>
    <row r="18" spans="1:8" x14ac:dyDescent="0.15">
      <c r="A18" s="69"/>
      <c r="B18" s="69"/>
      <c r="C18" s="70"/>
      <c r="D18" s="74"/>
      <c r="E18" s="72"/>
      <c r="F18" s="72"/>
      <c r="G18" s="72"/>
      <c r="H18" s="72"/>
    </row>
    <row r="19" spans="1:8" x14ac:dyDescent="0.15">
      <c r="A19" s="69"/>
      <c r="B19" s="69"/>
      <c r="C19" s="70"/>
      <c r="D19" s="71"/>
      <c r="E19" s="72"/>
      <c r="F19" s="72"/>
      <c r="G19" s="73"/>
      <c r="H19" s="72"/>
    </row>
    <row r="20" spans="1:8" x14ac:dyDescent="0.15">
      <c r="A20" s="69"/>
      <c r="B20" s="69"/>
      <c r="C20" s="70"/>
      <c r="D20" s="71"/>
      <c r="E20" s="72"/>
      <c r="F20" s="72"/>
      <c r="G20" s="73"/>
      <c r="H20" s="72"/>
    </row>
    <row r="21" spans="1:8" x14ac:dyDescent="0.15">
      <c r="A21" s="69"/>
      <c r="B21" s="69"/>
      <c r="C21" s="70"/>
      <c r="D21" s="71"/>
      <c r="E21" s="72"/>
      <c r="F21" s="72"/>
      <c r="G21" s="73"/>
      <c r="H21" s="72"/>
    </row>
    <row r="22" spans="1:8" x14ac:dyDescent="0.15">
      <c r="A22" s="69"/>
      <c r="B22" s="69"/>
      <c r="C22" s="70"/>
      <c r="D22" s="74"/>
      <c r="E22" s="72"/>
      <c r="F22" s="72"/>
      <c r="G22" s="72"/>
      <c r="H22" s="72"/>
    </row>
    <row r="23" spans="1:8" x14ac:dyDescent="0.15">
      <c r="A23" s="69"/>
      <c r="B23" s="69"/>
      <c r="C23" s="70"/>
      <c r="D23" s="71"/>
      <c r="E23" s="72"/>
      <c r="F23" s="72"/>
      <c r="G23" s="73"/>
      <c r="H23" s="72"/>
    </row>
    <row r="24" spans="1:8" x14ac:dyDescent="0.15">
      <c r="A24" s="69"/>
      <c r="B24" s="69"/>
      <c r="C24" s="70"/>
      <c r="D24" s="71"/>
      <c r="E24" s="72"/>
      <c r="F24" s="72"/>
      <c r="G24" s="73"/>
      <c r="H24" s="72"/>
    </row>
    <row r="25" spans="1:8" x14ac:dyDescent="0.15">
      <c r="A25" s="69"/>
      <c r="B25" s="69"/>
      <c r="C25" s="70"/>
      <c r="D25" s="71"/>
      <c r="E25" s="72"/>
      <c r="F25" s="72"/>
      <c r="G25" s="73"/>
      <c r="H25" s="72"/>
    </row>
    <row r="26" spans="1:8" x14ac:dyDescent="0.15">
      <c r="A26" s="69"/>
      <c r="B26" s="69"/>
      <c r="C26" s="70"/>
      <c r="D26" s="74"/>
      <c r="E26" s="72"/>
      <c r="F26" s="72"/>
      <c r="G26" s="72"/>
      <c r="H26" s="72"/>
    </row>
    <row r="27" spans="1:8" x14ac:dyDescent="0.15">
      <c r="A27" s="69"/>
      <c r="B27" s="69"/>
      <c r="C27" s="70"/>
      <c r="D27" s="71"/>
      <c r="E27" s="72"/>
      <c r="F27" s="72"/>
      <c r="G27" s="73"/>
      <c r="H27" s="72"/>
    </row>
    <row r="28" spans="1:8" x14ac:dyDescent="0.15">
      <c r="A28" s="69"/>
      <c r="B28" s="69"/>
      <c r="C28" s="70"/>
      <c r="D28" s="71"/>
      <c r="E28" s="72"/>
      <c r="F28" s="72"/>
      <c r="G28" s="73"/>
      <c r="H28" s="72"/>
    </row>
    <row r="29" spans="1:8" x14ac:dyDescent="0.15">
      <c r="A29" s="69"/>
      <c r="B29" s="69"/>
      <c r="C29" s="70"/>
      <c r="D29" s="71"/>
      <c r="E29" s="72"/>
      <c r="F29" s="72"/>
      <c r="G29" s="73"/>
      <c r="H29" s="72"/>
    </row>
    <row r="30" spans="1:8" x14ac:dyDescent="0.15">
      <c r="A30" s="69"/>
      <c r="B30" s="69"/>
      <c r="C30" s="70"/>
      <c r="D30" s="74"/>
      <c r="E30" s="72"/>
      <c r="F30" s="72"/>
      <c r="G30" s="72"/>
      <c r="H30" s="72"/>
    </row>
    <row r="31" spans="1:8" x14ac:dyDescent="0.15">
      <c r="A31" s="69"/>
      <c r="B31" s="69"/>
      <c r="C31" s="70"/>
      <c r="D31" s="71"/>
      <c r="E31" s="72"/>
      <c r="F31" s="72"/>
      <c r="G31" s="73"/>
      <c r="H31" s="72"/>
    </row>
    <row r="32" spans="1:8" x14ac:dyDescent="0.15">
      <c r="A32" s="69"/>
      <c r="B32" s="69"/>
      <c r="C32" s="70"/>
      <c r="D32" s="71"/>
      <c r="E32" s="72"/>
      <c r="F32" s="72"/>
      <c r="G32" s="73"/>
      <c r="H32" s="72"/>
    </row>
    <row r="33" spans="1:8" x14ac:dyDescent="0.15">
      <c r="A33" s="69"/>
      <c r="B33" s="69"/>
      <c r="C33" s="70"/>
      <c r="D33" s="71"/>
      <c r="E33" s="72"/>
      <c r="F33" s="72"/>
      <c r="G33" s="73"/>
      <c r="H33" s="72"/>
    </row>
    <row r="34" spans="1:8" x14ac:dyDescent="0.15">
      <c r="A34" s="69"/>
      <c r="B34" s="69"/>
      <c r="C34" s="70"/>
      <c r="D34" s="74"/>
      <c r="E34" s="72"/>
      <c r="F34" s="72"/>
      <c r="G34" s="72"/>
      <c r="H34" s="72"/>
    </row>
    <row r="35" spans="1:8" x14ac:dyDescent="0.15">
      <c r="A35" s="69"/>
      <c r="B35" s="69"/>
      <c r="C35" s="70"/>
      <c r="D35" s="71"/>
      <c r="E35" s="72"/>
      <c r="F35" s="72"/>
      <c r="G35" s="73"/>
      <c r="H35" s="72"/>
    </row>
    <row r="36" spans="1:8" x14ac:dyDescent="0.15">
      <c r="A36" s="69"/>
      <c r="B36" s="69"/>
      <c r="C36" s="70"/>
      <c r="D36" s="71"/>
      <c r="E36" s="72"/>
      <c r="F36" s="72"/>
      <c r="G36" s="73"/>
      <c r="H36" s="72"/>
    </row>
    <row r="37" spans="1:8" x14ac:dyDescent="0.15">
      <c r="A37" s="69"/>
      <c r="B37" s="69"/>
      <c r="C37" s="70"/>
      <c r="D37" s="71"/>
      <c r="E37" s="72"/>
      <c r="F37" s="72"/>
      <c r="G37" s="73"/>
      <c r="H37" s="72"/>
    </row>
    <row r="38" spans="1:8" x14ac:dyDescent="0.15">
      <c r="A38" s="69"/>
      <c r="B38" s="69"/>
      <c r="C38" s="70"/>
      <c r="D38" s="74"/>
      <c r="E38" s="72"/>
      <c r="F38" s="72"/>
      <c r="G38" s="72"/>
      <c r="H38" s="72"/>
    </row>
    <row r="39" spans="1:8" x14ac:dyDescent="0.15">
      <c r="A39" s="69"/>
      <c r="B39" s="69"/>
      <c r="C39" s="70"/>
      <c r="D39" s="71"/>
      <c r="E39" s="72"/>
      <c r="F39" s="72"/>
      <c r="G39" s="73"/>
      <c r="H39" s="72"/>
    </row>
    <row r="40" spans="1:8" x14ac:dyDescent="0.15">
      <c r="A40" s="69"/>
      <c r="B40" s="69"/>
      <c r="C40" s="70"/>
      <c r="D40" s="71"/>
      <c r="E40" s="72"/>
      <c r="F40" s="72"/>
      <c r="G40" s="73"/>
      <c r="H40" s="72"/>
    </row>
    <row r="41" spans="1:8" x14ac:dyDescent="0.15">
      <c r="A41" s="69"/>
      <c r="B41" s="69"/>
      <c r="C41" s="70"/>
      <c r="D41" s="71"/>
      <c r="E41" s="72"/>
      <c r="F41" s="72"/>
      <c r="G41" s="73"/>
      <c r="H41" s="72"/>
    </row>
    <row r="42" spans="1:8" x14ac:dyDescent="0.15">
      <c r="A42" s="69"/>
      <c r="B42" s="69"/>
      <c r="C42" s="70"/>
      <c r="D42" s="74"/>
      <c r="E42" s="72"/>
      <c r="F42" s="72"/>
      <c r="G42" s="72"/>
      <c r="H42" s="72"/>
    </row>
    <row r="43" spans="1:8" x14ac:dyDescent="0.15">
      <c r="A43" s="69"/>
      <c r="B43" s="69"/>
      <c r="C43" s="70"/>
      <c r="D43" s="74"/>
      <c r="E43" s="72"/>
      <c r="F43" s="72"/>
      <c r="G43" s="72"/>
      <c r="H43" s="72"/>
    </row>
    <row r="44" spans="1:8" x14ac:dyDescent="0.15">
      <c r="A44" s="69"/>
      <c r="B44" s="69"/>
      <c r="C44" s="70"/>
      <c r="D44" s="71"/>
      <c r="E44" s="72"/>
      <c r="F44" s="72"/>
      <c r="G44" s="73"/>
      <c r="H44" s="72"/>
    </row>
    <row r="45" spans="1:8" x14ac:dyDescent="0.15">
      <c r="A45" s="69"/>
      <c r="B45" s="69"/>
      <c r="C45" s="70"/>
      <c r="D45" s="71"/>
      <c r="E45" s="72"/>
      <c r="F45" s="72"/>
      <c r="G45" s="73"/>
      <c r="H45" s="72"/>
    </row>
    <row r="46" spans="1:8" x14ac:dyDescent="0.15">
      <c r="A46" s="69"/>
      <c r="B46" s="69"/>
      <c r="C46" s="70"/>
      <c r="D46" s="71"/>
      <c r="E46" s="72"/>
      <c r="F46" s="72"/>
      <c r="G46" s="73"/>
      <c r="H46" s="72"/>
    </row>
    <row r="47" spans="1:8" x14ac:dyDescent="0.15">
      <c r="A47" s="69"/>
      <c r="B47" s="69"/>
      <c r="C47" s="70"/>
      <c r="D47" s="74"/>
      <c r="E47" s="72"/>
      <c r="F47" s="72"/>
      <c r="G47" s="72"/>
      <c r="H47" s="72"/>
    </row>
    <row r="48" spans="1:8" x14ac:dyDescent="0.15">
      <c r="A48" s="69"/>
      <c r="B48" s="69"/>
      <c r="C48" s="70"/>
      <c r="D48" s="74"/>
      <c r="E48" s="72"/>
      <c r="F48" s="72"/>
      <c r="G48" s="72"/>
      <c r="H48" s="72"/>
    </row>
    <row r="49" spans="1:8" x14ac:dyDescent="0.15">
      <c r="A49" s="69"/>
      <c r="B49" s="69"/>
      <c r="C49" s="70"/>
      <c r="D49" s="71"/>
      <c r="E49" s="72"/>
      <c r="F49" s="72"/>
      <c r="G49" s="73"/>
      <c r="H49" s="72"/>
    </row>
    <row r="50" spans="1:8" x14ac:dyDescent="0.15">
      <c r="A50" s="69"/>
      <c r="B50" s="69"/>
      <c r="C50" s="70"/>
      <c r="D50" s="71"/>
      <c r="E50" s="72"/>
      <c r="F50" s="72"/>
      <c r="G50" s="73"/>
      <c r="H50" s="72"/>
    </row>
  </sheetData>
  <dataValidations count="2">
    <dataValidation type="list" allowBlank="1" showInputMessage="1" showErrorMessage="1" sqref="E2:E50" xr:uid="{3C07A381-9858-49B4-999C-00D92F7ADE0E}">
      <formula1>"MUST HAVE, SHOULD HAVE, COULD HAVE, WON'T HAVE"</formula1>
    </dataValidation>
    <dataValidation type="list" allowBlank="1" showInputMessage="1" showErrorMessage="1" sqref="H2:H50" xr:uid="{062032BB-3398-4DA4-ACB5-89994BD8FFB8}">
      <formula1>"1- Not Started, 2- In Progress, 3- Completed"</formula1>
    </dataValidation>
  </dataValidations>
  <pageMargins left="0.7" right="0.7" top="0.75" bottom="0.75" header="0.3" footer="0.3"/>
  <pageSetup orientation="portrait"/>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C2BAD-7D18-4826-9737-400C5B915206}">
  <sheetPr codeName="Sheet17"/>
  <dimension ref="A1:W85"/>
  <sheetViews>
    <sheetView showGridLines="0" topLeftCell="A9" zoomScale="66" workbookViewId="0">
      <selection activeCell="F25" sqref="F25"/>
    </sheetView>
  </sheetViews>
  <sheetFormatPr defaultColWidth="9.16796875" defaultRowHeight="12.75" x14ac:dyDescent="0.15"/>
  <cols>
    <col min="1" max="1" width="9.9765625" style="22" customWidth="1"/>
    <col min="2" max="2" width="9.70703125" style="23" customWidth="1"/>
    <col min="3" max="3" width="41.265625" style="24" customWidth="1"/>
    <col min="4" max="4" width="11.4609375" style="25" customWidth="1"/>
    <col min="5" max="5" width="11.4609375" style="26" customWidth="1"/>
    <col min="6" max="6" width="9.70703125" style="27" customWidth="1"/>
    <col min="7" max="7" width="16.98828125" style="22" customWidth="1"/>
    <col min="8" max="8" width="13.34765625" style="28" customWidth="1"/>
    <col min="9" max="9" width="9.3046875" style="28" customWidth="1"/>
    <col min="10" max="10" width="10.78515625" style="28" customWidth="1"/>
    <col min="11" max="11" width="10.24609375" style="22" customWidth="1"/>
    <col min="12" max="12" width="10.11328125" style="22" customWidth="1"/>
    <col min="13" max="16384" width="9.16796875" style="22"/>
  </cols>
  <sheetData>
    <row r="1" spans="1:23" ht="18.75" customHeight="1" x14ac:dyDescent="0.1">
      <c r="A1" s="29" t="s">
        <v>46</v>
      </c>
      <c r="B1" s="30"/>
      <c r="C1" s="30"/>
      <c r="D1" s="30"/>
      <c r="E1" s="30"/>
      <c r="F1" s="30"/>
      <c r="G1" s="30"/>
      <c r="H1" s="30"/>
      <c r="I1" s="30"/>
      <c r="J1" s="30"/>
      <c r="K1" s="30"/>
      <c r="L1" s="30"/>
      <c r="M1" s="30"/>
      <c r="N1" s="30"/>
      <c r="O1" s="30"/>
      <c r="P1" s="30"/>
      <c r="Q1" s="30"/>
      <c r="R1" s="30"/>
      <c r="S1" s="30"/>
      <c r="T1" s="59"/>
      <c r="U1" s="59"/>
      <c r="V1" s="30"/>
      <c r="W1" s="59"/>
    </row>
    <row r="2" spans="1:23" s="21" customFormat="1" ht="45.75" customHeight="1" x14ac:dyDescent="0.1">
      <c r="A2" s="76" t="s">
        <v>2</v>
      </c>
      <c r="B2" s="78" t="s">
        <v>47</v>
      </c>
      <c r="C2" s="80" t="s">
        <v>48</v>
      </c>
      <c r="D2" s="80" t="s">
        <v>49</v>
      </c>
      <c r="E2" s="82" t="s">
        <v>50</v>
      </c>
      <c r="F2" s="84" t="s">
        <v>51</v>
      </c>
      <c r="G2" s="84" t="s">
        <v>52</v>
      </c>
      <c r="H2" s="84" t="s">
        <v>7</v>
      </c>
      <c r="I2" s="53" t="s">
        <v>53</v>
      </c>
      <c r="J2" s="54" t="s">
        <v>54</v>
      </c>
      <c r="K2" s="54" t="s">
        <v>55</v>
      </c>
      <c r="L2" s="54" t="s">
        <v>56</v>
      </c>
      <c r="M2" s="54" t="s">
        <v>57</v>
      </c>
      <c r="N2" s="54" t="s">
        <v>58</v>
      </c>
      <c r="O2" s="54" t="s">
        <v>59</v>
      </c>
      <c r="P2" s="54" t="s">
        <v>60</v>
      </c>
      <c r="Q2" s="54" t="s">
        <v>61</v>
      </c>
      <c r="R2" s="54" t="s">
        <v>62</v>
      </c>
      <c r="S2" s="54" t="s">
        <v>63</v>
      </c>
      <c r="T2" s="54" t="s">
        <v>64</v>
      </c>
      <c r="U2" s="54" t="s">
        <v>65</v>
      </c>
      <c r="V2" s="54" t="s">
        <v>66</v>
      </c>
      <c r="W2" s="54" t="s">
        <v>67</v>
      </c>
    </row>
    <row r="3" spans="1:23" s="21" customFormat="1" ht="30" customHeight="1" x14ac:dyDescent="0.15">
      <c r="A3" s="77"/>
      <c r="B3" s="79"/>
      <c r="C3" s="81"/>
      <c r="D3" s="81"/>
      <c r="E3" s="83"/>
      <c r="F3" s="85"/>
      <c r="G3" s="85"/>
      <c r="H3" s="85"/>
      <c r="I3" s="55">
        <f t="shared" ref="I3:W3" si="0">SUM(I5:I781)</f>
        <v>101</v>
      </c>
      <c r="J3" s="55">
        <f t="shared" si="0"/>
        <v>9</v>
      </c>
      <c r="K3" s="55">
        <f t="shared" si="0"/>
        <v>9</v>
      </c>
      <c r="L3" s="55">
        <f t="shared" si="0"/>
        <v>8</v>
      </c>
      <c r="M3" s="55">
        <f t="shared" si="0"/>
        <v>7</v>
      </c>
      <c r="N3" s="55">
        <f t="shared" si="0"/>
        <v>8</v>
      </c>
      <c r="O3" s="55">
        <f t="shared" si="0"/>
        <v>5</v>
      </c>
      <c r="P3" s="55">
        <f t="shared" si="0"/>
        <v>5</v>
      </c>
      <c r="Q3" s="55">
        <f t="shared" si="0"/>
        <v>9</v>
      </c>
      <c r="R3" s="55">
        <f t="shared" si="0"/>
        <v>9</v>
      </c>
      <c r="S3" s="55">
        <f t="shared" si="0"/>
        <v>10</v>
      </c>
      <c r="T3" s="55">
        <f t="shared" si="0"/>
        <v>8</v>
      </c>
      <c r="U3" s="55">
        <f t="shared" si="0"/>
        <v>4</v>
      </c>
      <c r="V3" s="55">
        <f t="shared" si="0"/>
        <v>4</v>
      </c>
      <c r="W3" s="55">
        <f t="shared" si="0"/>
        <v>1</v>
      </c>
    </row>
    <row r="4" spans="1:23" s="21" customFormat="1" ht="33.75" customHeight="1" x14ac:dyDescent="0.15">
      <c r="A4" s="75" t="s">
        <v>68</v>
      </c>
      <c r="B4" s="75"/>
      <c r="C4" s="75"/>
      <c r="D4" s="75"/>
      <c r="E4" s="75"/>
      <c r="F4" s="75"/>
      <c r="G4" s="75"/>
      <c r="H4" s="75"/>
      <c r="I4" s="75"/>
      <c r="J4" s="75"/>
      <c r="K4" s="75"/>
      <c r="L4" s="75"/>
      <c r="M4" s="75"/>
      <c r="N4" s="75"/>
      <c r="O4" s="75"/>
      <c r="P4" s="75"/>
      <c r="Q4" s="75"/>
      <c r="R4" s="75"/>
      <c r="S4" s="75"/>
      <c r="T4" s="75"/>
      <c r="U4" s="75"/>
      <c r="V4" s="75"/>
      <c r="W4" s="75"/>
    </row>
    <row r="5" spans="1:23" ht="24.75" customHeight="1" x14ac:dyDescent="0.15">
      <c r="A5" s="31" t="s">
        <v>9</v>
      </c>
      <c r="B5" s="32">
        <v>1.1000000000000001</v>
      </c>
      <c r="C5" s="33" t="s">
        <v>69</v>
      </c>
      <c r="D5" s="34">
        <v>46056</v>
      </c>
      <c r="E5" s="34">
        <v>46056</v>
      </c>
      <c r="F5" s="35" t="s">
        <v>70</v>
      </c>
      <c r="G5" s="36" t="s">
        <v>71</v>
      </c>
      <c r="H5" s="37" t="s">
        <v>14</v>
      </c>
      <c r="I5" s="56">
        <v>2</v>
      </c>
      <c r="J5" s="56">
        <v>2</v>
      </c>
      <c r="K5" s="56">
        <v>0</v>
      </c>
      <c r="L5" s="56">
        <v>0</v>
      </c>
      <c r="M5" s="56">
        <v>0</v>
      </c>
      <c r="N5" s="56">
        <v>0</v>
      </c>
      <c r="O5" s="57">
        <v>0</v>
      </c>
      <c r="P5" s="57">
        <v>0</v>
      </c>
      <c r="Q5" s="57">
        <v>0</v>
      </c>
      <c r="R5" s="57">
        <v>0</v>
      </c>
      <c r="S5" s="57">
        <v>0</v>
      </c>
      <c r="T5" s="60">
        <v>0</v>
      </c>
      <c r="U5" s="60">
        <v>0</v>
      </c>
      <c r="V5" s="60">
        <v>0</v>
      </c>
      <c r="W5" s="60">
        <v>0</v>
      </c>
    </row>
    <row r="6" spans="1:23" ht="24.75" customHeight="1" x14ac:dyDescent="0.15">
      <c r="A6" s="31" t="s">
        <v>9</v>
      </c>
      <c r="B6" s="32">
        <v>1.2</v>
      </c>
      <c r="C6" s="38" t="s">
        <v>72</v>
      </c>
      <c r="D6" s="34">
        <v>46057</v>
      </c>
      <c r="E6" s="34">
        <v>46058</v>
      </c>
      <c r="F6" s="35" t="s">
        <v>32</v>
      </c>
      <c r="G6" s="36" t="s">
        <v>71</v>
      </c>
      <c r="H6" s="37" t="s">
        <v>14</v>
      </c>
      <c r="I6" s="56">
        <v>4</v>
      </c>
      <c r="J6" s="56"/>
      <c r="K6" s="56">
        <v>2</v>
      </c>
      <c r="L6" s="56">
        <v>2</v>
      </c>
      <c r="M6" s="56"/>
      <c r="N6" s="56"/>
      <c r="O6" s="57"/>
      <c r="P6" s="57"/>
      <c r="Q6" s="57"/>
      <c r="R6" s="57"/>
      <c r="S6" s="57"/>
      <c r="T6" s="57"/>
      <c r="U6" s="57"/>
      <c r="V6" s="57"/>
      <c r="W6" s="57"/>
    </row>
    <row r="7" spans="1:23" ht="28.5" customHeight="1" x14ac:dyDescent="0.15">
      <c r="A7" s="31" t="s">
        <v>9</v>
      </c>
      <c r="B7" s="32">
        <v>1.3</v>
      </c>
      <c r="C7" s="38" t="s">
        <v>73</v>
      </c>
      <c r="D7" s="34">
        <v>46059</v>
      </c>
      <c r="E7" s="34">
        <v>46062</v>
      </c>
      <c r="F7" s="35" t="s">
        <v>32</v>
      </c>
      <c r="G7" s="36" t="s">
        <v>74</v>
      </c>
      <c r="H7" s="37" t="s">
        <v>14</v>
      </c>
      <c r="I7" s="56">
        <v>6</v>
      </c>
      <c r="J7" s="57"/>
      <c r="K7" s="57"/>
      <c r="L7" s="57"/>
      <c r="M7" s="57">
        <v>2</v>
      </c>
      <c r="N7" s="57">
        <v>1</v>
      </c>
      <c r="O7" s="57">
        <v>1</v>
      </c>
      <c r="P7" s="57">
        <v>1</v>
      </c>
      <c r="Q7" s="57"/>
      <c r="R7" s="57"/>
      <c r="S7" s="57"/>
      <c r="T7" s="57"/>
      <c r="U7" s="57"/>
      <c r="V7" s="57"/>
      <c r="W7" s="57"/>
    </row>
    <row r="8" spans="1:23" ht="36.75" customHeight="1" x14ac:dyDescent="0.15">
      <c r="A8" s="31" t="s">
        <v>9</v>
      </c>
      <c r="B8" s="32">
        <v>2.1</v>
      </c>
      <c r="C8" s="38" t="s">
        <v>75</v>
      </c>
      <c r="D8" s="34">
        <v>46063</v>
      </c>
      <c r="E8" s="34">
        <v>46063</v>
      </c>
      <c r="F8" s="35" t="s">
        <v>76</v>
      </c>
      <c r="G8" s="36" t="s">
        <v>77</v>
      </c>
      <c r="H8" s="37" t="s">
        <v>14</v>
      </c>
      <c r="I8" s="56">
        <v>3</v>
      </c>
      <c r="J8" s="56"/>
      <c r="K8" s="56"/>
      <c r="L8" s="56"/>
      <c r="M8" s="56"/>
      <c r="N8" s="56"/>
      <c r="O8" s="57"/>
      <c r="P8" s="57"/>
      <c r="Q8" s="57">
        <v>3</v>
      </c>
      <c r="R8" s="57"/>
      <c r="S8" s="57"/>
      <c r="T8" s="57"/>
      <c r="U8" s="57"/>
      <c r="V8" s="57"/>
      <c r="W8" s="57"/>
    </row>
    <row r="9" spans="1:23" ht="79.5" customHeight="1" x14ac:dyDescent="0.15">
      <c r="A9" s="31" t="s">
        <v>9</v>
      </c>
      <c r="B9" s="32">
        <v>2.2000000000000002</v>
      </c>
      <c r="C9" s="39" t="s">
        <v>78</v>
      </c>
      <c r="D9" s="34">
        <v>46064</v>
      </c>
      <c r="E9" s="34">
        <v>46065</v>
      </c>
      <c r="F9" s="35" t="s">
        <v>76</v>
      </c>
      <c r="G9" s="36" t="s">
        <v>77</v>
      </c>
      <c r="H9" s="37" t="s">
        <v>14</v>
      </c>
      <c r="I9" s="56">
        <v>4</v>
      </c>
      <c r="J9" s="57"/>
      <c r="K9" s="57"/>
      <c r="L9" s="57"/>
      <c r="M9" s="57"/>
      <c r="N9" s="57"/>
      <c r="O9" s="57"/>
      <c r="P9" s="57"/>
      <c r="Q9" s="57"/>
      <c r="R9" s="57">
        <v>2</v>
      </c>
      <c r="S9" s="57">
        <v>2</v>
      </c>
      <c r="T9" s="57"/>
      <c r="U9" s="57"/>
      <c r="V9" s="57"/>
      <c r="W9" s="57"/>
    </row>
    <row r="10" spans="1:23" ht="82.5" customHeight="1" x14ac:dyDescent="0.15">
      <c r="A10" s="31" t="s">
        <v>9</v>
      </c>
      <c r="B10" s="32">
        <v>2.2999999999999998</v>
      </c>
      <c r="C10" s="39" t="s">
        <v>79</v>
      </c>
      <c r="D10" s="34">
        <v>46066</v>
      </c>
      <c r="E10" s="34">
        <v>46069</v>
      </c>
      <c r="F10" s="35" t="s">
        <v>76</v>
      </c>
      <c r="G10" s="36" t="s">
        <v>74</v>
      </c>
      <c r="H10" s="37" t="s">
        <v>14</v>
      </c>
      <c r="I10" s="56">
        <v>4</v>
      </c>
      <c r="J10" s="57"/>
      <c r="K10" s="57"/>
      <c r="L10" s="57"/>
      <c r="M10" s="57"/>
      <c r="N10" s="57"/>
      <c r="O10" s="57"/>
      <c r="P10" s="57"/>
      <c r="Q10" s="57"/>
      <c r="R10" s="57"/>
      <c r="S10" s="57"/>
      <c r="T10" s="57">
        <v>1</v>
      </c>
      <c r="U10" s="57">
        <v>1</v>
      </c>
      <c r="V10" s="57">
        <v>1</v>
      </c>
      <c r="W10" s="57">
        <v>1</v>
      </c>
    </row>
    <row r="11" spans="1:23" ht="83.25" customHeight="1" x14ac:dyDescent="0.15">
      <c r="A11" s="31" t="s">
        <v>9</v>
      </c>
      <c r="B11" s="32">
        <v>3.1</v>
      </c>
      <c r="C11" s="39" t="s">
        <v>80</v>
      </c>
      <c r="D11" s="34">
        <v>46070</v>
      </c>
      <c r="E11" s="34">
        <v>46070</v>
      </c>
      <c r="F11" s="35" t="s">
        <v>76</v>
      </c>
      <c r="G11" s="36" t="s">
        <v>77</v>
      </c>
      <c r="H11" s="37" t="s">
        <v>14</v>
      </c>
      <c r="I11" s="56">
        <v>2</v>
      </c>
      <c r="J11" s="57">
        <v>2</v>
      </c>
      <c r="K11" s="57"/>
      <c r="L11" s="57"/>
      <c r="M11" s="57"/>
      <c r="N11" s="57"/>
      <c r="O11" s="57"/>
      <c r="P11" s="57"/>
      <c r="Q11" s="57"/>
      <c r="R11" s="57"/>
      <c r="S11" s="57"/>
      <c r="T11" s="57"/>
      <c r="U11" s="57"/>
      <c r="V11" s="57"/>
      <c r="W11" s="57"/>
    </row>
    <row r="12" spans="1:23" ht="39.75" customHeight="1" x14ac:dyDescent="0.15">
      <c r="A12" s="31" t="s">
        <v>9</v>
      </c>
      <c r="B12" s="32">
        <v>3.2</v>
      </c>
      <c r="C12" s="40" t="s">
        <v>81</v>
      </c>
      <c r="D12" s="34">
        <v>46071</v>
      </c>
      <c r="E12" s="34">
        <v>46072</v>
      </c>
      <c r="F12" s="35" t="s">
        <v>76</v>
      </c>
      <c r="G12" s="36" t="s">
        <v>74</v>
      </c>
      <c r="H12" s="37" t="s">
        <v>14</v>
      </c>
      <c r="I12" s="56">
        <v>5</v>
      </c>
      <c r="J12" s="57"/>
      <c r="K12" s="57">
        <v>3</v>
      </c>
      <c r="L12" s="57">
        <v>2</v>
      </c>
      <c r="M12" s="57"/>
      <c r="N12" s="57"/>
      <c r="O12" s="57"/>
      <c r="P12" s="57"/>
      <c r="Q12" s="57"/>
      <c r="R12" s="57"/>
      <c r="S12" s="57"/>
      <c r="T12" s="57"/>
      <c r="U12" s="57"/>
      <c r="V12" s="57"/>
      <c r="W12" s="57"/>
    </row>
    <row r="13" spans="1:23" ht="50.25" customHeight="1" x14ac:dyDescent="0.15">
      <c r="A13" s="31" t="s">
        <v>9</v>
      </c>
      <c r="B13" s="32">
        <v>3.3</v>
      </c>
      <c r="C13" s="40" t="s">
        <v>82</v>
      </c>
      <c r="D13" s="34">
        <v>46073</v>
      </c>
      <c r="E13" s="34">
        <v>46076</v>
      </c>
      <c r="F13" s="35" t="s">
        <v>76</v>
      </c>
      <c r="G13" s="36" t="s">
        <v>74</v>
      </c>
      <c r="H13" s="37" t="s">
        <v>14</v>
      </c>
      <c r="I13" s="56">
        <v>8</v>
      </c>
      <c r="J13" s="57"/>
      <c r="K13" s="57"/>
      <c r="L13" s="57"/>
      <c r="M13" s="57">
        <v>4</v>
      </c>
      <c r="N13" s="57"/>
      <c r="O13" s="57"/>
      <c r="P13" s="57"/>
      <c r="Q13" s="57"/>
      <c r="R13" s="57"/>
      <c r="S13" s="57"/>
      <c r="T13" s="57"/>
      <c r="U13" s="57"/>
      <c r="V13" s="57"/>
      <c r="W13" s="57"/>
    </row>
    <row r="14" spans="1:23" ht="30" customHeight="1" x14ac:dyDescent="0.15">
      <c r="A14" s="31" t="s">
        <v>9</v>
      </c>
      <c r="B14" s="32">
        <v>4.0999999999999996</v>
      </c>
      <c r="C14" s="41" t="s">
        <v>83</v>
      </c>
      <c r="D14" s="34">
        <v>46077</v>
      </c>
      <c r="E14" s="34">
        <v>46078</v>
      </c>
      <c r="F14" s="35" t="s">
        <v>76</v>
      </c>
      <c r="G14" s="36" t="s">
        <v>74</v>
      </c>
      <c r="H14" s="37" t="s">
        <v>14</v>
      </c>
      <c r="I14" s="56">
        <v>6</v>
      </c>
      <c r="J14" s="57"/>
      <c r="K14" s="57"/>
      <c r="L14" s="57"/>
      <c r="M14" s="57"/>
      <c r="N14" s="57"/>
      <c r="O14" s="57"/>
      <c r="P14" s="57"/>
      <c r="Q14" s="57">
        <v>3</v>
      </c>
      <c r="R14" s="57">
        <v>3</v>
      </c>
      <c r="S14" s="57"/>
      <c r="T14" s="57"/>
      <c r="U14" s="57"/>
      <c r="V14" s="57"/>
      <c r="W14" s="57"/>
    </row>
    <row r="15" spans="1:23" ht="21.75" customHeight="1" x14ac:dyDescent="0.15">
      <c r="A15" s="31"/>
      <c r="B15" s="32">
        <v>4.2</v>
      </c>
      <c r="C15" s="41" t="s">
        <v>84</v>
      </c>
      <c r="D15" s="34">
        <v>46079</v>
      </c>
      <c r="E15" s="34">
        <v>46079</v>
      </c>
      <c r="F15" s="35" t="s">
        <v>85</v>
      </c>
      <c r="G15" s="36" t="s">
        <v>86</v>
      </c>
      <c r="H15" s="37" t="s">
        <v>14</v>
      </c>
      <c r="I15" s="56">
        <v>4</v>
      </c>
      <c r="J15" s="57"/>
      <c r="K15" s="57"/>
      <c r="L15" s="57"/>
      <c r="M15" s="57"/>
      <c r="N15" s="57"/>
      <c r="O15" s="57"/>
      <c r="P15" s="57"/>
      <c r="Q15" s="57"/>
      <c r="R15" s="57"/>
      <c r="S15" s="57">
        <v>4</v>
      </c>
      <c r="T15" s="57"/>
      <c r="U15" s="57"/>
      <c r="V15" s="57"/>
      <c r="W15" s="57"/>
    </row>
    <row r="16" spans="1:23" ht="21.75" customHeight="1" x14ac:dyDescent="0.15">
      <c r="A16" s="31"/>
      <c r="B16" s="32">
        <v>4.3</v>
      </c>
      <c r="C16" s="41" t="s">
        <v>87</v>
      </c>
      <c r="D16" s="42">
        <v>46080</v>
      </c>
      <c r="E16" s="43">
        <v>46080</v>
      </c>
      <c r="F16" s="35" t="s">
        <v>76</v>
      </c>
      <c r="G16" s="36" t="s">
        <v>88</v>
      </c>
      <c r="H16" s="37" t="s">
        <v>14</v>
      </c>
      <c r="I16" s="56">
        <v>3</v>
      </c>
      <c r="J16" s="57"/>
      <c r="K16" s="57"/>
      <c r="L16" s="57"/>
      <c r="M16" s="57"/>
      <c r="N16" s="57"/>
      <c r="O16" s="57"/>
      <c r="P16" s="57"/>
      <c r="Q16" s="57"/>
      <c r="R16" s="57"/>
      <c r="S16" s="57"/>
      <c r="T16" s="57">
        <v>3</v>
      </c>
      <c r="U16" s="57">
        <v>0</v>
      </c>
      <c r="V16" s="57">
        <v>0</v>
      </c>
      <c r="W16" s="57">
        <v>0</v>
      </c>
    </row>
    <row r="17" spans="1:23" ht="21.75" customHeight="1" x14ac:dyDescent="0.15">
      <c r="A17" s="31"/>
      <c r="B17" s="32" t="s">
        <v>89</v>
      </c>
      <c r="C17" s="44" t="s">
        <v>90</v>
      </c>
      <c r="D17" s="45">
        <v>46084</v>
      </c>
      <c r="E17" s="34">
        <v>46084</v>
      </c>
      <c r="F17" s="35" t="s">
        <v>76</v>
      </c>
      <c r="G17" s="36" t="s">
        <v>91</v>
      </c>
      <c r="H17" s="37" t="s">
        <v>14</v>
      </c>
      <c r="I17" s="56">
        <v>2</v>
      </c>
      <c r="J17" s="57">
        <v>2</v>
      </c>
      <c r="K17" s="57"/>
      <c r="L17" s="57"/>
      <c r="M17" s="57"/>
      <c r="N17" s="57"/>
      <c r="O17" s="57"/>
      <c r="P17" s="57"/>
      <c r="Q17" s="57"/>
      <c r="R17" s="57"/>
      <c r="S17" s="57"/>
      <c r="T17" s="57"/>
      <c r="U17" s="57"/>
      <c r="V17" s="57"/>
      <c r="W17" s="57"/>
    </row>
    <row r="18" spans="1:23" ht="21.75" customHeight="1" x14ac:dyDescent="0.15">
      <c r="A18" s="31"/>
      <c r="B18" s="32">
        <v>5.2</v>
      </c>
      <c r="C18" s="44" t="s">
        <v>92</v>
      </c>
      <c r="D18" s="45">
        <v>46085</v>
      </c>
      <c r="E18" s="34">
        <v>46086</v>
      </c>
      <c r="F18" s="35" t="s">
        <v>76</v>
      </c>
      <c r="G18" s="36" t="s">
        <v>91</v>
      </c>
      <c r="H18" s="37" t="s">
        <v>14</v>
      </c>
      <c r="I18" s="56">
        <v>4</v>
      </c>
      <c r="J18" s="57"/>
      <c r="K18" s="57">
        <v>2</v>
      </c>
      <c r="L18" s="57">
        <v>2</v>
      </c>
      <c r="M18" s="57"/>
      <c r="N18" s="57"/>
      <c r="O18" s="57"/>
      <c r="P18" s="57"/>
      <c r="Q18" s="57"/>
      <c r="R18" s="57"/>
      <c r="S18" s="57"/>
      <c r="T18" s="57"/>
      <c r="U18" s="57"/>
      <c r="V18" s="57"/>
      <c r="W18" s="57"/>
    </row>
    <row r="19" spans="1:23" ht="21.75" customHeight="1" x14ac:dyDescent="0.15">
      <c r="A19" s="31"/>
      <c r="B19" s="32">
        <v>5.3</v>
      </c>
      <c r="C19" s="44" t="s">
        <v>93</v>
      </c>
      <c r="D19" s="34">
        <v>46087</v>
      </c>
      <c r="E19" s="34">
        <v>46090</v>
      </c>
      <c r="F19" s="35" t="s">
        <v>76</v>
      </c>
      <c r="G19" s="36" t="s">
        <v>91</v>
      </c>
      <c r="H19" s="37" t="s">
        <v>14</v>
      </c>
      <c r="I19" s="56">
        <v>6</v>
      </c>
      <c r="J19" s="57"/>
      <c r="K19" s="57"/>
      <c r="L19" s="57"/>
      <c r="M19" s="57"/>
      <c r="N19" s="57">
        <v>3</v>
      </c>
      <c r="O19" s="57"/>
      <c r="P19" s="57"/>
      <c r="Q19" s="57">
        <v>3</v>
      </c>
      <c r="R19" s="57"/>
      <c r="S19" s="57"/>
      <c r="T19" s="57"/>
      <c r="U19" s="57"/>
      <c r="V19" s="57"/>
      <c r="W19" s="57"/>
    </row>
    <row r="20" spans="1:23" ht="21" customHeight="1" x14ac:dyDescent="0.15">
      <c r="A20" s="31"/>
      <c r="B20" s="32">
        <v>6.1</v>
      </c>
      <c r="C20" s="44" t="s">
        <v>94</v>
      </c>
      <c r="D20" s="34">
        <v>46091</v>
      </c>
      <c r="E20" s="34">
        <v>46091</v>
      </c>
      <c r="F20" s="35" t="s">
        <v>76</v>
      </c>
      <c r="G20" s="36" t="s">
        <v>74</v>
      </c>
      <c r="H20" s="37" t="s">
        <v>14</v>
      </c>
      <c r="I20" s="56">
        <v>4</v>
      </c>
      <c r="J20" s="57"/>
      <c r="K20" s="57"/>
      <c r="L20" s="57"/>
      <c r="M20" s="57"/>
      <c r="N20" s="57"/>
      <c r="O20" s="57"/>
      <c r="P20" s="57"/>
      <c r="Q20" s="57"/>
      <c r="R20" s="57">
        <v>4</v>
      </c>
      <c r="S20" s="57"/>
      <c r="T20" s="57"/>
      <c r="U20" s="57"/>
      <c r="V20" s="57"/>
      <c r="W20" s="57"/>
    </row>
    <row r="21" spans="1:23" ht="19.5" customHeight="1" x14ac:dyDescent="0.15">
      <c r="A21" s="31"/>
      <c r="B21" s="32">
        <v>6.2</v>
      </c>
      <c r="C21" s="44" t="s">
        <v>95</v>
      </c>
      <c r="D21" s="34">
        <v>46092</v>
      </c>
      <c r="E21" s="34">
        <v>46093</v>
      </c>
      <c r="F21" s="35" t="s">
        <v>76</v>
      </c>
      <c r="G21" s="36" t="s">
        <v>74</v>
      </c>
      <c r="H21" s="37" t="s">
        <v>14</v>
      </c>
      <c r="I21" s="56">
        <v>8</v>
      </c>
      <c r="J21" s="57"/>
      <c r="K21" s="57"/>
      <c r="L21" s="57"/>
      <c r="M21" s="57"/>
      <c r="N21" s="57"/>
      <c r="O21" s="57"/>
      <c r="P21" s="57"/>
      <c r="Q21" s="57"/>
      <c r="R21" s="57"/>
      <c r="S21" s="57">
        <v>4</v>
      </c>
      <c r="T21" s="57">
        <v>4</v>
      </c>
      <c r="U21" s="57"/>
      <c r="V21" s="57"/>
      <c r="W21" s="57"/>
    </row>
    <row r="22" spans="1:23" ht="17.25" customHeight="1" x14ac:dyDescent="0.15">
      <c r="A22" s="31"/>
      <c r="B22" s="32">
        <v>6.3</v>
      </c>
      <c r="C22" s="41" t="s">
        <v>92</v>
      </c>
      <c r="D22" s="34">
        <v>46094</v>
      </c>
      <c r="E22" s="34">
        <v>46097</v>
      </c>
      <c r="F22" s="35" t="s">
        <v>76</v>
      </c>
      <c r="G22" s="36" t="s">
        <v>86</v>
      </c>
      <c r="H22" s="37" t="s">
        <v>14</v>
      </c>
      <c r="I22" s="56">
        <v>6</v>
      </c>
      <c r="J22" s="57"/>
      <c r="K22" s="57"/>
      <c r="L22" s="57"/>
      <c r="M22" s="57"/>
      <c r="N22" s="57"/>
      <c r="O22" s="57"/>
      <c r="P22" s="57"/>
      <c r="Q22" s="57"/>
      <c r="R22" s="57"/>
      <c r="S22" s="57"/>
      <c r="T22" s="57"/>
      <c r="U22" s="57">
        <v>3</v>
      </c>
      <c r="V22" s="57">
        <v>3</v>
      </c>
      <c r="W22" s="57">
        <v>0</v>
      </c>
    </row>
    <row r="23" spans="1:23" ht="17.25" customHeight="1" x14ac:dyDescent="0.15">
      <c r="A23" s="31"/>
      <c r="B23" s="32">
        <v>7.1</v>
      </c>
      <c r="C23" s="46" t="s">
        <v>96</v>
      </c>
      <c r="D23" s="34">
        <v>46098</v>
      </c>
      <c r="E23" s="47">
        <v>46101</v>
      </c>
      <c r="F23" s="35" t="s">
        <v>76</v>
      </c>
      <c r="G23" s="36" t="s">
        <v>74</v>
      </c>
      <c r="H23" s="37" t="s">
        <v>14</v>
      </c>
      <c r="I23" s="56">
        <v>8</v>
      </c>
      <c r="J23" s="57">
        <v>3</v>
      </c>
      <c r="K23" s="57">
        <v>2</v>
      </c>
      <c r="L23" s="57">
        <v>2</v>
      </c>
      <c r="M23" s="57">
        <v>1</v>
      </c>
      <c r="N23" s="57"/>
      <c r="O23" s="57"/>
      <c r="P23" s="57"/>
      <c r="Q23" s="57"/>
      <c r="R23" s="57"/>
      <c r="S23" s="57"/>
      <c r="T23" s="57"/>
      <c r="U23" s="57"/>
      <c r="V23" s="57"/>
      <c r="W23" s="57"/>
    </row>
    <row r="24" spans="1:23" ht="17.25" customHeight="1" x14ac:dyDescent="0.15">
      <c r="A24" s="31"/>
      <c r="B24" s="32">
        <v>7.2</v>
      </c>
      <c r="C24" s="41" t="s">
        <v>97</v>
      </c>
      <c r="D24" s="34">
        <v>46104</v>
      </c>
      <c r="E24" s="34">
        <v>46105</v>
      </c>
      <c r="F24" s="35" t="s">
        <v>85</v>
      </c>
      <c r="G24" s="36" t="s">
        <v>74</v>
      </c>
      <c r="H24" s="37" t="s">
        <v>14</v>
      </c>
      <c r="I24" s="56">
        <v>8</v>
      </c>
      <c r="J24" s="57"/>
      <c r="K24" s="57"/>
      <c r="L24" s="57"/>
      <c r="M24" s="57"/>
      <c r="N24" s="57">
        <v>4</v>
      </c>
      <c r="O24" s="57">
        <v>4</v>
      </c>
      <c r="P24" s="57"/>
      <c r="Q24" s="57"/>
      <c r="R24" s="57"/>
      <c r="S24" s="57"/>
      <c r="T24" s="57"/>
      <c r="U24" s="57"/>
      <c r="V24" s="57"/>
      <c r="W24" s="57"/>
    </row>
    <row r="25" spans="1:23" ht="17.25" customHeight="1" x14ac:dyDescent="0.15">
      <c r="A25" s="31"/>
      <c r="B25" s="32">
        <v>7.3</v>
      </c>
      <c r="C25" s="41" t="s">
        <v>98</v>
      </c>
      <c r="D25" s="34">
        <v>46106</v>
      </c>
      <c r="E25" s="34">
        <v>46106</v>
      </c>
      <c r="F25" s="35" t="s">
        <v>85</v>
      </c>
      <c r="G25" s="36" t="s">
        <v>74</v>
      </c>
      <c r="H25" s="37" t="s">
        <v>14</v>
      </c>
      <c r="I25" s="56">
        <v>4</v>
      </c>
      <c r="J25" s="57"/>
      <c r="K25" s="57"/>
      <c r="L25" s="57"/>
      <c r="M25" s="57"/>
      <c r="N25" s="57"/>
      <c r="O25" s="57"/>
      <c r="P25" s="57">
        <v>4</v>
      </c>
      <c r="Q25" s="57"/>
      <c r="R25" s="57"/>
      <c r="S25" s="57"/>
      <c r="T25" s="57"/>
      <c r="U25" s="57"/>
      <c r="V25" s="57"/>
      <c r="W25" s="57"/>
    </row>
    <row r="26" spans="1:23" ht="17.25" customHeight="1" x14ac:dyDescent="0.15">
      <c r="A26" s="31"/>
      <c r="B26" s="32"/>
      <c r="C26" s="41"/>
      <c r="D26" s="34"/>
      <c r="E26" s="34"/>
      <c r="F26" s="35"/>
      <c r="G26" s="36"/>
      <c r="H26" s="37"/>
      <c r="I26" s="56"/>
      <c r="J26" s="57"/>
      <c r="K26" s="57"/>
      <c r="L26" s="57"/>
      <c r="M26" s="57"/>
      <c r="N26" s="57"/>
      <c r="O26" s="57"/>
      <c r="P26" s="57"/>
      <c r="Q26" s="57"/>
      <c r="R26" s="57"/>
      <c r="S26" s="57"/>
      <c r="T26" s="57"/>
      <c r="U26" s="57"/>
      <c r="V26" s="57"/>
      <c r="W26" s="57"/>
    </row>
    <row r="27" spans="1:23" ht="15.75" customHeight="1" x14ac:dyDescent="0.1">
      <c r="A27" s="31"/>
      <c r="B27" s="32"/>
      <c r="C27" s="41" t="s">
        <v>99</v>
      </c>
      <c r="D27" s="34"/>
      <c r="E27" s="34"/>
      <c r="F27" s="35"/>
      <c r="G27" s="36"/>
      <c r="H27" s="37"/>
      <c r="I27" s="56"/>
      <c r="J27" s="57"/>
      <c r="K27" s="57"/>
      <c r="L27" s="57"/>
      <c r="M27" s="57"/>
      <c r="N27" s="57"/>
      <c r="O27" s="57"/>
      <c r="P27" s="57"/>
      <c r="Q27" s="57"/>
      <c r="R27" s="57"/>
      <c r="S27" s="57"/>
      <c r="T27" s="57"/>
      <c r="U27" s="57"/>
      <c r="V27" s="57"/>
      <c r="W27" s="57"/>
    </row>
    <row r="28" spans="1:23" ht="18.75" customHeight="1" x14ac:dyDescent="0.1">
      <c r="A28" s="31"/>
      <c r="B28" s="32"/>
      <c r="C28" s="41" t="s">
        <v>99</v>
      </c>
      <c r="D28" s="34"/>
      <c r="E28" s="34"/>
      <c r="F28" s="35"/>
      <c r="G28" s="36"/>
      <c r="H28" s="37"/>
      <c r="I28" s="56"/>
      <c r="J28" s="57"/>
      <c r="K28" s="57"/>
      <c r="L28" s="57"/>
      <c r="M28" s="57"/>
      <c r="N28" s="57"/>
      <c r="O28" s="57"/>
      <c r="P28" s="57"/>
      <c r="Q28" s="57"/>
      <c r="R28" s="57"/>
      <c r="S28" s="57"/>
      <c r="T28" s="57"/>
      <c r="U28" s="57"/>
      <c r="V28" s="57"/>
      <c r="W28" s="57"/>
    </row>
    <row r="29" spans="1:23" ht="19.5" customHeight="1" x14ac:dyDescent="0.1">
      <c r="A29" s="31"/>
      <c r="B29" s="32"/>
      <c r="C29" s="41" t="s">
        <v>99</v>
      </c>
      <c r="D29" s="34"/>
      <c r="E29" s="34"/>
      <c r="F29" s="35"/>
      <c r="G29" s="36"/>
      <c r="H29" s="37"/>
      <c r="I29" s="56"/>
      <c r="J29" s="57"/>
      <c r="K29" s="57"/>
      <c r="L29" s="57"/>
      <c r="M29" s="57"/>
      <c r="N29" s="57"/>
      <c r="O29" s="57"/>
      <c r="P29" s="57"/>
      <c r="Q29" s="57"/>
      <c r="R29" s="57"/>
      <c r="S29" s="57"/>
      <c r="T29" s="57"/>
      <c r="U29" s="57"/>
      <c r="V29" s="57"/>
      <c r="W29" s="57"/>
    </row>
    <row r="30" spans="1:23" ht="19.5" customHeight="1" x14ac:dyDescent="0.15">
      <c r="A30" s="31"/>
      <c r="B30" s="32"/>
      <c r="C30" s="41"/>
      <c r="D30" s="34"/>
      <c r="E30" s="34"/>
      <c r="F30" s="35"/>
      <c r="G30" s="36"/>
      <c r="H30" s="37"/>
      <c r="I30" s="56"/>
      <c r="J30" s="57"/>
      <c r="K30" s="57"/>
      <c r="L30" s="57"/>
      <c r="M30" s="57"/>
      <c r="N30" s="57"/>
      <c r="O30" s="57"/>
      <c r="P30" s="57"/>
      <c r="Q30" s="57"/>
      <c r="R30" s="57"/>
      <c r="S30" s="57"/>
      <c r="T30" s="57"/>
      <c r="U30" s="57"/>
      <c r="V30" s="57"/>
      <c r="W30" s="57"/>
    </row>
    <row r="31" spans="1:23" ht="19.5" customHeight="1" x14ac:dyDescent="0.15">
      <c r="A31" s="31"/>
      <c r="B31" s="32"/>
      <c r="C31" s="41"/>
      <c r="D31" s="34"/>
      <c r="E31" s="34"/>
      <c r="F31" s="35"/>
      <c r="G31" s="36"/>
      <c r="H31" s="37"/>
      <c r="I31" s="56"/>
      <c r="J31" s="57"/>
      <c r="K31" s="57"/>
      <c r="L31" s="57"/>
      <c r="M31" s="57"/>
      <c r="N31" s="57"/>
      <c r="O31" s="57"/>
      <c r="P31" s="57"/>
      <c r="Q31" s="57"/>
      <c r="R31" s="57"/>
      <c r="S31" s="57"/>
      <c r="T31" s="57"/>
      <c r="U31" s="57"/>
      <c r="V31" s="57"/>
      <c r="W31" s="57"/>
    </row>
    <row r="32" spans="1:23" ht="19.5" customHeight="1" x14ac:dyDescent="0.15">
      <c r="A32" s="31"/>
      <c r="B32" s="32"/>
      <c r="C32" s="41"/>
      <c r="D32" s="34"/>
      <c r="E32" s="34"/>
      <c r="F32" s="35"/>
      <c r="G32" s="36"/>
      <c r="H32" s="37"/>
      <c r="I32" s="56"/>
      <c r="J32" s="57"/>
      <c r="K32" s="57"/>
      <c r="L32" s="57"/>
      <c r="M32" s="57"/>
      <c r="N32" s="57"/>
      <c r="O32" s="57"/>
      <c r="P32" s="57"/>
      <c r="Q32" s="57"/>
      <c r="R32" s="57"/>
      <c r="S32" s="57"/>
      <c r="T32" s="57"/>
      <c r="U32" s="57"/>
      <c r="V32" s="57"/>
      <c r="W32" s="57"/>
    </row>
    <row r="33" spans="1:23" ht="19.5" customHeight="1" x14ac:dyDescent="0.15">
      <c r="A33" s="31"/>
      <c r="B33" s="32"/>
      <c r="C33" s="41"/>
      <c r="D33" s="34"/>
      <c r="E33" s="34"/>
      <c r="F33" s="35"/>
      <c r="G33" s="36"/>
      <c r="H33" s="37"/>
      <c r="I33" s="56"/>
      <c r="J33" s="57"/>
      <c r="K33" s="57"/>
      <c r="L33" s="57"/>
      <c r="M33" s="57"/>
      <c r="N33" s="57"/>
      <c r="O33" s="57"/>
      <c r="P33" s="57"/>
      <c r="Q33" s="57"/>
      <c r="R33" s="57"/>
      <c r="S33" s="57"/>
      <c r="T33" s="57"/>
      <c r="U33" s="57"/>
      <c r="V33" s="57"/>
      <c r="W33" s="57"/>
    </row>
    <row r="34" spans="1:23" ht="20.25" customHeight="1" x14ac:dyDescent="0.1">
      <c r="A34" s="31"/>
      <c r="B34" s="32"/>
      <c r="C34" s="41" t="s">
        <v>99</v>
      </c>
      <c r="D34" s="34"/>
      <c r="E34" s="34"/>
      <c r="F34" s="35"/>
      <c r="G34" s="36"/>
      <c r="H34" s="37"/>
      <c r="I34" s="56"/>
      <c r="J34" s="57"/>
      <c r="K34" s="57"/>
      <c r="L34" s="57"/>
      <c r="M34" s="57"/>
      <c r="N34" s="57"/>
      <c r="O34" s="57"/>
      <c r="P34" s="57"/>
      <c r="Q34" s="57"/>
      <c r="R34" s="57"/>
      <c r="S34" s="57"/>
      <c r="T34" s="57"/>
      <c r="U34" s="57"/>
      <c r="V34" s="57"/>
      <c r="W34" s="57"/>
    </row>
    <row r="35" spans="1:23" ht="18" customHeight="1" x14ac:dyDescent="0.1">
      <c r="A35" s="31"/>
      <c r="B35" s="32"/>
      <c r="C35" s="41" t="s">
        <v>99</v>
      </c>
      <c r="D35" s="34"/>
      <c r="E35" s="34"/>
      <c r="F35" s="35"/>
      <c r="G35" s="36"/>
      <c r="H35" s="37"/>
      <c r="I35" s="56"/>
      <c r="J35" s="57"/>
      <c r="K35" s="57"/>
      <c r="L35" s="57"/>
      <c r="M35" s="57"/>
      <c r="N35" s="57"/>
      <c r="O35" s="57"/>
      <c r="P35" s="57"/>
      <c r="Q35" s="57"/>
      <c r="R35" s="57"/>
      <c r="S35" s="57"/>
      <c r="T35" s="57"/>
      <c r="U35" s="57"/>
      <c r="V35" s="57"/>
      <c r="W35" s="57"/>
    </row>
    <row r="36" spans="1:23" ht="17.25" customHeight="1" x14ac:dyDescent="0.1">
      <c r="A36" s="31"/>
      <c r="B36" s="32"/>
      <c r="C36" s="41" t="s">
        <v>99</v>
      </c>
      <c r="D36" s="34"/>
      <c r="E36" s="34"/>
      <c r="F36" s="35"/>
      <c r="G36" s="36"/>
      <c r="H36" s="37"/>
      <c r="I36" s="56"/>
      <c r="J36" s="57"/>
      <c r="K36" s="57"/>
      <c r="L36" s="57"/>
      <c r="M36" s="57"/>
      <c r="N36" s="57"/>
      <c r="O36" s="57"/>
      <c r="P36" s="57"/>
      <c r="Q36" s="57"/>
      <c r="R36" s="57"/>
      <c r="S36" s="57"/>
      <c r="T36" s="57"/>
      <c r="U36" s="57"/>
      <c r="V36" s="57"/>
      <c r="W36" s="57"/>
    </row>
    <row r="37" spans="1:23" ht="17.25" customHeight="1" x14ac:dyDescent="0.15">
      <c r="A37" s="31"/>
      <c r="B37" s="32"/>
      <c r="C37" s="41"/>
      <c r="D37" s="34"/>
      <c r="E37" s="34"/>
      <c r="F37" s="35"/>
      <c r="G37" s="36"/>
      <c r="H37" s="37"/>
      <c r="I37" s="56"/>
      <c r="J37" s="57"/>
      <c r="K37" s="57"/>
      <c r="L37" s="57"/>
      <c r="M37" s="57"/>
      <c r="N37" s="57"/>
      <c r="O37" s="57"/>
      <c r="P37" s="57"/>
      <c r="Q37" s="57"/>
      <c r="R37" s="57"/>
      <c r="S37" s="57"/>
      <c r="T37" s="57"/>
      <c r="U37" s="57"/>
      <c r="V37" s="57"/>
      <c r="W37" s="57"/>
    </row>
    <row r="38" spans="1:23" ht="17.25" customHeight="1" x14ac:dyDescent="0.15">
      <c r="A38" s="31"/>
      <c r="B38" s="32"/>
      <c r="C38" s="41"/>
      <c r="D38" s="34"/>
      <c r="E38" s="34"/>
      <c r="F38" s="35"/>
      <c r="G38" s="36"/>
      <c r="H38" s="37"/>
      <c r="I38" s="56"/>
      <c r="J38" s="57"/>
      <c r="K38" s="57"/>
      <c r="L38" s="57"/>
      <c r="M38" s="57"/>
      <c r="N38" s="57"/>
      <c r="O38" s="57"/>
      <c r="P38" s="57"/>
      <c r="Q38" s="57"/>
      <c r="R38" s="57"/>
      <c r="S38" s="57"/>
      <c r="T38" s="57"/>
      <c r="U38" s="57"/>
      <c r="V38" s="57"/>
      <c r="W38" s="57"/>
    </row>
    <row r="39" spans="1:23" ht="17.25" customHeight="1" x14ac:dyDescent="0.15">
      <c r="A39" s="31"/>
      <c r="B39" s="32"/>
      <c r="C39" s="41"/>
      <c r="D39" s="34"/>
      <c r="E39" s="34"/>
      <c r="F39" s="35"/>
      <c r="G39" s="36"/>
      <c r="H39" s="37"/>
      <c r="I39" s="56"/>
      <c r="J39" s="57"/>
      <c r="K39" s="57"/>
      <c r="L39" s="57"/>
      <c r="M39" s="57"/>
      <c r="N39" s="57"/>
      <c r="O39" s="57"/>
      <c r="P39" s="57"/>
      <c r="Q39" s="57"/>
      <c r="R39" s="57"/>
      <c r="S39" s="57"/>
      <c r="T39" s="57"/>
      <c r="U39" s="57"/>
      <c r="V39" s="57"/>
      <c r="W39" s="57"/>
    </row>
    <row r="40" spans="1:23" ht="17.25" customHeight="1" x14ac:dyDescent="0.15">
      <c r="A40" s="31"/>
      <c r="B40" s="32"/>
      <c r="C40" s="41"/>
      <c r="D40" s="34"/>
      <c r="E40" s="34"/>
      <c r="F40" s="35"/>
      <c r="G40" s="36"/>
      <c r="H40" s="37"/>
      <c r="I40" s="56"/>
      <c r="J40" s="57"/>
      <c r="K40" s="57"/>
      <c r="L40" s="57"/>
      <c r="M40" s="57"/>
      <c r="N40" s="57"/>
      <c r="O40" s="57"/>
      <c r="P40" s="57"/>
      <c r="Q40" s="57"/>
      <c r="R40" s="57"/>
      <c r="S40" s="57"/>
      <c r="T40" s="57"/>
      <c r="U40" s="57"/>
      <c r="V40" s="57"/>
      <c r="W40" s="57"/>
    </row>
    <row r="41" spans="1:23" ht="18.75" customHeight="1" x14ac:dyDescent="0.1">
      <c r="A41" s="31"/>
      <c r="B41" s="32"/>
      <c r="C41" s="41" t="s">
        <v>99</v>
      </c>
      <c r="D41" s="34"/>
      <c r="E41" s="34"/>
      <c r="F41" s="35"/>
      <c r="G41" s="36"/>
      <c r="H41" s="37"/>
      <c r="I41" s="56"/>
      <c r="J41" s="57"/>
      <c r="K41" s="57"/>
      <c r="L41" s="57"/>
      <c r="M41" s="57"/>
      <c r="N41" s="57"/>
      <c r="O41" s="57"/>
      <c r="P41" s="57"/>
      <c r="Q41" s="57"/>
      <c r="R41" s="57"/>
      <c r="S41" s="57"/>
      <c r="T41" s="57"/>
      <c r="U41" s="57"/>
      <c r="V41" s="57"/>
      <c r="W41" s="57"/>
    </row>
    <row r="42" spans="1:23" ht="18.75" customHeight="1" x14ac:dyDescent="0.1">
      <c r="A42" s="31"/>
      <c r="B42" s="32"/>
      <c r="C42" s="41" t="s">
        <v>99</v>
      </c>
      <c r="D42" s="34"/>
      <c r="E42" s="34"/>
      <c r="F42" s="35"/>
      <c r="G42" s="36"/>
      <c r="H42" s="37"/>
      <c r="I42" s="56"/>
      <c r="J42" s="57"/>
      <c r="K42" s="57"/>
      <c r="L42" s="57"/>
      <c r="M42" s="57"/>
      <c r="N42" s="57"/>
      <c r="O42" s="57"/>
      <c r="P42" s="57"/>
      <c r="Q42" s="57"/>
      <c r="R42" s="57"/>
      <c r="S42" s="57"/>
      <c r="T42" s="57"/>
      <c r="U42" s="57"/>
      <c r="V42" s="57"/>
      <c r="W42" s="57"/>
    </row>
    <row r="43" spans="1:23" ht="18.75" customHeight="1" x14ac:dyDescent="0.15">
      <c r="A43" s="31"/>
      <c r="B43" s="32"/>
      <c r="C43" s="41"/>
      <c r="D43" s="34"/>
      <c r="E43" s="34"/>
      <c r="F43" s="35"/>
      <c r="G43" s="36"/>
      <c r="H43" s="37"/>
      <c r="I43" s="56"/>
      <c r="J43" s="57"/>
      <c r="K43" s="57"/>
      <c r="L43" s="57"/>
      <c r="M43" s="57"/>
      <c r="N43" s="57"/>
      <c r="O43" s="57"/>
      <c r="P43" s="57"/>
      <c r="Q43" s="57"/>
      <c r="R43" s="57"/>
      <c r="S43" s="57"/>
      <c r="T43" s="57"/>
      <c r="U43" s="57"/>
      <c r="V43" s="57"/>
      <c r="W43" s="57"/>
    </row>
    <row r="44" spans="1:23" ht="18.75" customHeight="1" x14ac:dyDescent="0.15">
      <c r="A44" s="31"/>
      <c r="B44" s="32"/>
      <c r="C44" s="41"/>
      <c r="D44" s="34"/>
      <c r="E44" s="34"/>
      <c r="F44" s="35"/>
      <c r="G44" s="36"/>
      <c r="H44" s="37"/>
      <c r="I44" s="56"/>
      <c r="J44" s="57"/>
      <c r="K44" s="57"/>
      <c r="L44" s="57"/>
      <c r="M44" s="57"/>
      <c r="N44" s="57"/>
      <c r="O44" s="57"/>
      <c r="P44" s="57"/>
      <c r="Q44" s="57"/>
      <c r="R44" s="57"/>
      <c r="S44" s="57"/>
      <c r="T44" s="57"/>
      <c r="U44" s="57"/>
      <c r="V44" s="57"/>
      <c r="W44" s="57"/>
    </row>
    <row r="45" spans="1:23" ht="18.75" customHeight="1" x14ac:dyDescent="0.15">
      <c r="A45" s="31"/>
      <c r="B45" s="32"/>
      <c r="C45" s="41"/>
      <c r="D45" s="34"/>
      <c r="E45" s="34"/>
      <c r="F45" s="35"/>
      <c r="G45" s="36"/>
      <c r="H45" s="37"/>
      <c r="I45" s="56"/>
      <c r="J45" s="57"/>
      <c r="K45" s="57"/>
      <c r="L45" s="57"/>
      <c r="M45" s="57"/>
      <c r="N45" s="57"/>
      <c r="O45" s="57"/>
      <c r="P45" s="57"/>
      <c r="Q45" s="57"/>
      <c r="R45" s="57"/>
      <c r="S45" s="57"/>
      <c r="T45" s="57"/>
      <c r="U45" s="57"/>
      <c r="V45" s="57"/>
      <c r="W45" s="57"/>
    </row>
    <row r="46" spans="1:23" ht="18" customHeight="1" x14ac:dyDescent="0.1">
      <c r="A46" s="31"/>
      <c r="B46" s="32"/>
      <c r="C46" s="41" t="s">
        <v>99</v>
      </c>
      <c r="D46" s="34"/>
      <c r="E46" s="34"/>
      <c r="F46" s="35"/>
      <c r="G46" s="36"/>
      <c r="H46" s="37"/>
      <c r="I46" s="56"/>
      <c r="J46" s="57"/>
      <c r="K46" s="57"/>
      <c r="L46" s="57"/>
      <c r="M46" s="57"/>
      <c r="N46" s="57"/>
      <c r="O46" s="57"/>
      <c r="P46" s="57"/>
      <c r="Q46" s="57"/>
      <c r="R46" s="57"/>
      <c r="S46" s="57"/>
      <c r="T46" s="57"/>
      <c r="U46" s="57"/>
      <c r="V46" s="57"/>
      <c r="W46" s="57"/>
    </row>
    <row r="47" spans="1:23" ht="18" customHeight="1" x14ac:dyDescent="0.15">
      <c r="A47" s="31"/>
      <c r="B47" s="32"/>
      <c r="C47" s="41"/>
      <c r="D47" s="34"/>
      <c r="E47" s="34"/>
      <c r="F47" s="35"/>
      <c r="G47" s="36"/>
      <c r="H47" s="37"/>
      <c r="I47" s="56"/>
      <c r="J47" s="57"/>
      <c r="K47" s="57"/>
      <c r="L47" s="57"/>
      <c r="M47" s="57"/>
      <c r="N47" s="57"/>
      <c r="O47" s="57"/>
      <c r="P47" s="57"/>
      <c r="Q47" s="57"/>
      <c r="R47" s="57"/>
      <c r="S47" s="57"/>
      <c r="T47" s="57"/>
      <c r="U47" s="57"/>
      <c r="V47" s="57"/>
      <c r="W47" s="57"/>
    </row>
    <row r="48" spans="1:23" ht="24" customHeight="1" x14ac:dyDescent="0.1">
      <c r="A48" s="31"/>
      <c r="B48" s="32"/>
      <c r="C48" s="41" t="s">
        <v>99</v>
      </c>
      <c r="D48" s="34"/>
      <c r="E48" s="34"/>
      <c r="F48" s="35"/>
      <c r="G48" s="36"/>
      <c r="H48" s="37"/>
      <c r="I48" s="56"/>
      <c r="J48" s="57"/>
      <c r="K48" s="57"/>
      <c r="L48" s="57"/>
      <c r="M48" s="57"/>
      <c r="N48" s="57"/>
      <c r="O48" s="57"/>
      <c r="P48" s="57"/>
      <c r="Q48" s="57"/>
      <c r="R48" s="57"/>
      <c r="S48" s="57"/>
      <c r="T48" s="57"/>
      <c r="U48" s="57"/>
      <c r="V48" s="57"/>
      <c r="W48" s="57"/>
    </row>
    <row r="49" spans="1:12" ht="24" customHeight="1" x14ac:dyDescent="0.15">
      <c r="A49" s="48"/>
      <c r="B49" s="49"/>
      <c r="C49" s="50"/>
      <c r="D49" s="51"/>
      <c r="E49" s="51"/>
      <c r="F49" s="52"/>
      <c r="G49" s="52"/>
      <c r="H49" s="51"/>
      <c r="I49" s="58"/>
      <c r="J49" s="58"/>
      <c r="K49" s="58"/>
      <c r="L49" s="58"/>
    </row>
    <row r="51" spans="1:12" ht="53.25" customHeight="1" x14ac:dyDescent="0.15"/>
    <row r="52" spans="1:12" ht="42" customHeight="1" x14ac:dyDescent="0.15"/>
    <row r="53" spans="1:12" ht="42" customHeight="1" x14ac:dyDescent="0.15"/>
    <row r="54" spans="1:12" ht="21.75" customHeight="1" x14ac:dyDescent="0.15"/>
    <row r="55" spans="1:12" ht="18.75" customHeight="1" x14ac:dyDescent="0.15"/>
    <row r="56" spans="1:12" ht="21.75" customHeight="1" x14ac:dyDescent="0.15"/>
    <row r="57" spans="1:12" ht="18.75" customHeight="1" x14ac:dyDescent="0.15"/>
    <row r="58" spans="1:12" ht="18" customHeight="1" x14ac:dyDescent="0.15"/>
    <row r="59" spans="1:12" ht="21" customHeight="1" x14ac:dyDescent="0.15"/>
    <row r="60" spans="1:12" ht="16.5" customHeight="1" x14ac:dyDescent="0.15"/>
    <row r="61" spans="1:12" ht="19.5" customHeight="1" x14ac:dyDescent="0.15"/>
    <row r="62" spans="1:12" ht="19.5" customHeight="1" x14ac:dyDescent="0.15"/>
    <row r="63" spans="1:12" ht="18.75" customHeight="1" x14ac:dyDescent="0.15"/>
    <row r="64" spans="1:12" ht="11.25" customHeight="1" x14ac:dyDescent="0.15"/>
    <row r="65" ht="11.25" customHeight="1" x14ac:dyDescent="0.15"/>
    <row r="82" ht="17.25" customHeight="1" x14ac:dyDescent="0.15"/>
    <row r="83" ht="21" customHeight="1" x14ac:dyDescent="0.15"/>
    <row r="84" ht="21" customHeight="1" x14ac:dyDescent="0.15"/>
    <row r="85" ht="22.5" customHeight="1" x14ac:dyDescent="0.15"/>
  </sheetData>
  <sheetProtection password="E403" sheet="1" objects="1" scenarios="1" formatCells="0" formatRows="0" insertRows="0" deleteRows="0"/>
  <mergeCells count="9">
    <mergeCell ref="A4:W4"/>
    <mergeCell ref="A2:A3"/>
    <mergeCell ref="B2:B3"/>
    <mergeCell ref="C2:C3"/>
    <mergeCell ref="D2:D3"/>
    <mergeCell ref="E2:E3"/>
    <mergeCell ref="F2:F3"/>
    <mergeCell ref="G2:G3"/>
    <mergeCell ref="H2:H3"/>
  </mergeCells>
  <dataValidations count="8">
    <dataValidation type="list" allowBlank="1" showInputMessage="1" showErrorMessage="1" sqref="G49" xr:uid="{8ED2F2A3-FB9D-477F-95FC-0226BC5F1276}">
      <formula1>"Build, Unit Test, System Test, Coding, General , Integration"</formula1>
    </dataValidation>
    <dataValidation type="list" allowBlank="1" showInputMessage="1" showErrorMessage="1" sqref="H49 H86:H65536" xr:uid="{61AAB57D-17D1-4E30-89EE-D5D441665798}">
      <formula1>Status</formula1>
    </dataValidation>
    <dataValidation type="list" allowBlank="1" showInputMessage="1" showErrorMessage="1" sqref="F86:F65536" xr:uid="{0BAC411C-5844-490B-A25E-0447C91EEEAA}">
      <formula1>Team</formula1>
    </dataValidation>
    <dataValidation type="list" allowBlank="1" showInputMessage="1" showErrorMessage="1" sqref="G5:G48" xr:uid="{FE0A0D70-C471-45BD-A7F0-0654C9ECFF49}">
      <formula1>"Build, Coding, Design, Integration Test, Regression Test, System Test, Unit Test, Others"</formula1>
    </dataValidation>
    <dataValidation type="list" allowBlank="1" showInputMessage="1" showErrorMessage="1" sqref="G86:G65536" xr:uid="{FFB1F3C6-E1CC-45E5-855F-382C62A1A7E3}">
      <formula1>Category</formula1>
    </dataValidation>
    <dataValidation type="list" allowBlank="1" showInputMessage="1" showErrorMessage="1" sqref="H5:H48" xr:uid="{3D1CC136-81E2-4F85-9EFB-3D7AFE194E1A}">
      <formula1>"1- Not Started, 2- In Progress, 3- Completed"</formula1>
    </dataValidation>
    <dataValidation type="decimal" allowBlank="1" showInputMessage="1" showErrorMessage="1" sqref="I5:I48" xr:uid="{D93719A5-BEA3-4D7A-94D2-E763E4580CDC}">
      <formula1>0</formula1>
      <formula2>12</formula2>
    </dataValidation>
    <dataValidation type="decimal" operator="lessThanOrEqual" allowBlank="1" showInputMessage="1" showErrorMessage="1" sqref="J9:L49 J5:W8 M9:W48" xr:uid="{A21CA9BE-27E2-465C-9AE2-300EA8B1CDCA}">
      <formula1>I5</formula1>
    </dataValidation>
  </dataValidations>
  <pageMargins left="0.75" right="0.75" top="1" bottom="1" header="0.5" footer="0.5"/>
  <pageSetup orientation="portrait"/>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DC837-BA0B-42C6-BFB4-6CABC8DAC155}">
  <sheetPr codeName="Sheet5"/>
  <dimension ref="A1:G8"/>
  <sheetViews>
    <sheetView workbookViewId="0">
      <pane ySplit="1" topLeftCell="A2" activePane="bottomLeft" state="frozen"/>
      <selection pane="bottomLeft" activeCell="E6" sqref="E6"/>
    </sheetView>
  </sheetViews>
  <sheetFormatPr defaultColWidth="8.8984375" defaultRowHeight="12.75" x14ac:dyDescent="0.15"/>
  <cols>
    <col min="3" max="3" width="41.53515625" style="15" customWidth="1"/>
    <col min="4" max="4" width="26.96875" customWidth="1"/>
    <col min="5" max="5" width="33.44140625" customWidth="1"/>
  </cols>
  <sheetData>
    <row r="1" spans="1:7" ht="49.5" customHeight="1" x14ac:dyDescent="0.15">
      <c r="A1" s="16" t="s">
        <v>100</v>
      </c>
      <c r="B1" s="16" t="s">
        <v>101</v>
      </c>
      <c r="C1" s="16" t="s">
        <v>102</v>
      </c>
      <c r="D1" s="16" t="s">
        <v>103</v>
      </c>
      <c r="E1" s="17"/>
      <c r="F1" s="17"/>
      <c r="G1" s="17"/>
    </row>
    <row r="2" spans="1:7" ht="35.25" x14ac:dyDescent="0.15">
      <c r="A2" s="18" t="s">
        <v>104</v>
      </c>
      <c r="B2" s="18"/>
      <c r="C2" s="19" t="s">
        <v>105</v>
      </c>
      <c r="D2" s="20" t="s">
        <v>106</v>
      </c>
    </row>
    <row r="3" spans="1:7" ht="35.25" x14ac:dyDescent="0.15">
      <c r="A3" s="18" t="s">
        <v>107</v>
      </c>
      <c r="B3" s="18"/>
      <c r="C3" s="19" t="s">
        <v>108</v>
      </c>
      <c r="D3" s="18" t="s">
        <v>109</v>
      </c>
    </row>
    <row r="4" spans="1:7" ht="35.25" x14ac:dyDescent="0.15">
      <c r="A4" s="18" t="s">
        <v>110</v>
      </c>
      <c r="B4" s="18"/>
      <c r="C4" s="19" t="s">
        <v>111</v>
      </c>
      <c r="D4" s="18" t="s">
        <v>112</v>
      </c>
    </row>
    <row r="5" spans="1:7" ht="35.25" x14ac:dyDescent="0.15">
      <c r="A5" s="18" t="s">
        <v>113</v>
      </c>
      <c r="B5" s="18"/>
      <c r="C5" s="19" t="s">
        <v>114</v>
      </c>
      <c r="D5" s="18" t="s">
        <v>115</v>
      </c>
    </row>
    <row r="6" spans="1:7" ht="35.25" x14ac:dyDescent="0.15">
      <c r="A6" s="18" t="s">
        <v>116</v>
      </c>
      <c r="B6" s="18"/>
      <c r="C6" s="19" t="s">
        <v>117</v>
      </c>
      <c r="D6" s="18" t="s">
        <v>118</v>
      </c>
    </row>
    <row r="7" spans="1:7" x14ac:dyDescent="0.15">
      <c r="C7"/>
    </row>
    <row r="8" spans="1:7" x14ac:dyDescent="0.15">
      <c r="C8"/>
    </row>
  </sheetData>
  <pageMargins left="0.7" right="0.7" top="0.75" bottom="0.75" header="0.3" footer="0.3"/>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A0B41-C340-4790-849F-2912EFE19B34}">
  <sheetPr codeName="Sheet9"/>
  <dimension ref="A1:I5"/>
  <sheetViews>
    <sheetView showGridLines="0" tabSelected="1" topLeftCell="C1" zoomScale="69" workbookViewId="0">
      <selection activeCell="E3" sqref="E3"/>
    </sheetView>
  </sheetViews>
  <sheetFormatPr defaultColWidth="9.16796875" defaultRowHeight="12.75" x14ac:dyDescent="0.15"/>
  <cols>
    <col min="1" max="1" width="6.875" style="3" customWidth="1"/>
    <col min="2" max="4" width="12.26953125" style="4" customWidth="1"/>
    <col min="5" max="5" width="48.41015625" style="3" customWidth="1"/>
    <col min="6" max="6" width="40.72265625" style="4" customWidth="1"/>
    <col min="7" max="7" width="27.23828125" style="5" customWidth="1"/>
    <col min="8" max="8" width="45.4453125" style="3" customWidth="1"/>
    <col min="9" max="9" width="69.44921875" style="3" customWidth="1"/>
    <col min="10" max="10" width="9.16796875" style="3" customWidth="1"/>
    <col min="11" max="16384" width="9.16796875" style="3"/>
  </cols>
  <sheetData>
    <row r="1" spans="1:9" s="1" customFormat="1" ht="45.75" customHeight="1" x14ac:dyDescent="0.15">
      <c r="A1" s="6" t="s">
        <v>119</v>
      </c>
      <c r="B1" s="6" t="s">
        <v>120</v>
      </c>
      <c r="C1" s="6" t="s">
        <v>121</v>
      </c>
      <c r="D1" s="6" t="s">
        <v>122</v>
      </c>
      <c r="E1" s="6" t="s">
        <v>123</v>
      </c>
      <c r="F1" s="6" t="s">
        <v>124</v>
      </c>
      <c r="G1" s="6" t="s">
        <v>125</v>
      </c>
      <c r="H1" s="6" t="s">
        <v>126</v>
      </c>
      <c r="I1" s="6" t="s">
        <v>127</v>
      </c>
    </row>
    <row r="2" spans="1:9" s="2" customFormat="1" ht="30" customHeight="1" x14ac:dyDescent="0.15">
      <c r="A2" s="7">
        <v>1</v>
      </c>
      <c r="B2" s="7" t="s">
        <v>104</v>
      </c>
      <c r="C2" s="8">
        <v>46056</v>
      </c>
      <c r="D2" s="8">
        <v>46069</v>
      </c>
      <c r="E2" s="9" t="s">
        <v>32</v>
      </c>
      <c r="F2" s="10" t="s">
        <v>128</v>
      </c>
      <c r="G2" s="11" t="s">
        <v>129</v>
      </c>
      <c r="H2" s="9" t="s">
        <v>130</v>
      </c>
      <c r="I2" s="9" t="s">
        <v>131</v>
      </c>
    </row>
    <row r="3" spans="1:9" s="2" customFormat="1" ht="24.75" customHeight="1" x14ac:dyDescent="0.15">
      <c r="A3" s="7">
        <v>2</v>
      </c>
      <c r="B3" s="7" t="s">
        <v>132</v>
      </c>
      <c r="C3" s="8">
        <v>46070</v>
      </c>
      <c r="D3" s="8">
        <v>46083</v>
      </c>
      <c r="E3" s="9" t="s">
        <v>148</v>
      </c>
      <c r="F3" s="10" t="s">
        <v>133</v>
      </c>
      <c r="G3" s="12" t="s">
        <v>134</v>
      </c>
      <c r="H3" s="3" t="s">
        <v>135</v>
      </c>
      <c r="I3" s="9" t="s">
        <v>136</v>
      </c>
    </row>
    <row r="4" spans="1:9" s="2" customFormat="1" ht="27.75" customHeight="1" x14ac:dyDescent="0.15">
      <c r="A4" s="7">
        <v>3</v>
      </c>
      <c r="B4" s="7" t="s">
        <v>107</v>
      </c>
      <c r="C4" s="8">
        <v>46084</v>
      </c>
      <c r="D4" s="8">
        <v>46097</v>
      </c>
      <c r="E4" s="9" t="s">
        <v>137</v>
      </c>
      <c r="F4" s="10" t="s">
        <v>138</v>
      </c>
      <c r="G4" s="13" t="s">
        <v>139</v>
      </c>
      <c r="H4" s="9" t="s">
        <v>140</v>
      </c>
      <c r="I4" s="9" t="s">
        <v>141</v>
      </c>
    </row>
    <row r="5" spans="1:9" s="2" customFormat="1" ht="27.75" customHeight="1" x14ac:dyDescent="0.15">
      <c r="A5" s="7">
        <v>4</v>
      </c>
      <c r="B5" s="7" t="s">
        <v>142</v>
      </c>
      <c r="C5" s="8">
        <v>46098</v>
      </c>
      <c r="D5" s="8">
        <v>46111</v>
      </c>
      <c r="E5" s="9" t="s">
        <v>143</v>
      </c>
      <c r="F5" s="10" t="s">
        <v>144</v>
      </c>
      <c r="G5" s="14" t="s">
        <v>145</v>
      </c>
      <c r="H5" s="9" t="s">
        <v>146</v>
      </c>
      <c r="I5" s="9" t="s">
        <v>147</v>
      </c>
    </row>
  </sheetData>
  <pageMargins left="0.7" right="0.7" top="0.75" bottom="0.75" header="0.3" footer="0.3"/>
  <pageSetup orientation="portrait" horizontalDpi="429496729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 /></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 /></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 /></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 /></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allowEditUser xmlns="https://web.wps.cn/et/2018/main" xmlns:s="http://schemas.openxmlformats.org/spreadsheetml/2006/main" hasInvisiblePropRange="0">
  <rangeList sheetStid="52" master="" otherUserPermission="visible"/>
  <rangeList sheetStid="48" master="" otherUserPermission="visible"/>
  <rangeList sheetStid="50" master="" otherUserPermission="visible"/>
  <rangeList sheetStid="34" master="" otherUserPermission="visible"/>
</allowEditUser>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3F37AD2-F175-417F-8B4C-43FA547649D7}">
  <ds:schemaRefs>
    <ds:schemaRef ds:uri="http://schemas.microsoft.com/office/2006/metadata/longProperties"/>
  </ds:schemaRefs>
</ds:datastoreItem>
</file>

<file path=customXml/itemProps2.xml><?xml version="1.0" encoding="utf-8"?>
<ds:datastoreItem xmlns:ds="http://schemas.openxmlformats.org/officeDocument/2006/customXml" ds:itemID="{05F2658D-0A1D-482D-8A15-ACBD3F9F55F6}">
  <ds:schemaRefs>
    <ds:schemaRef ds:uri="http://schemas.microsoft.com/office/2006/metadata/contentType"/>
    <ds:schemaRef ds:uri="http://schemas.microsoft.com/office/2006/metadata/properties/metaAttributes"/>
    <ds:schemaRef ds:uri="http://www.w3.org/2000/xmlns/"/>
    <ds:schemaRef ds:uri="http://www.w3.org/2001/XMLSchema"/>
    <ds:schemaRef ds:uri="b67b99c0-208c-4860-83e0-51466af787c4"/>
  </ds:schemaRefs>
</ds:datastoreItem>
</file>

<file path=customXml/itemProps3.xml><?xml version="1.0" encoding="utf-8"?>
<ds:datastoreItem xmlns:ds="http://schemas.openxmlformats.org/officeDocument/2006/customXml" ds:itemID="{5A5607D9-04D2-4DE1-AC0E-A7772F01BC71}">
  <ds:schemaRefs>
    <ds:schemaRef ds:uri="https://web.wps.cn/et/2018/main"/>
    <ds:schemaRef ds:uri="http://www.w3.org/2000/xmlns/"/>
  </ds:schemaRefs>
</ds:datastoreItem>
</file>

<file path=customXml/itemProps4.xml><?xml version="1.0" encoding="utf-8"?>
<ds:datastoreItem xmlns:ds="http://schemas.openxmlformats.org/officeDocument/2006/customXml" ds:itemID="{70CF7EF0-982B-4AD0-BBEC-EE46AE901B4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Excel Android</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Company>Infosys (ETA)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creator>Sumeet_Kumar08@infosys.com</dc:creator>
  <cp:keywords>Agile, Scrum</cp:keywords>
  <dc:description>Sprint Backlog</dc:description>
  <cp:lastModifiedBy>X</cp:lastModifiedBy>
  <dcterms:created xsi:type="dcterms:W3CDTF">1996-10-14T23:33:28Z</dcterms:created>
  <dcterms:modified xsi:type="dcterms:W3CDTF">2026-04-01T14:29:30Z</dcterms:modified>
  <cp:category>Agile Template for Trainees</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y fmtid="{D5CDD505-2E9C-101B-9397-08002B2CF9AE}" pid="31" name="ICV">
    <vt:lpwstr>09A65CE802D244DAA39FA1E9C6A848A4_13</vt:lpwstr>
  </property>
  <property fmtid="{D5CDD505-2E9C-101B-9397-08002B2CF9AE}" pid="32" name="KSOProductBuildVer">
    <vt:lpwstr>2057-12.2.0.23197</vt:lpwstr>
  </property>
</Properties>
</file>